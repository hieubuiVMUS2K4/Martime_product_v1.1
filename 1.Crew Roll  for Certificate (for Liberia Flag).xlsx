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xr:revisionPtr revIDLastSave="0" documentId="8_{F1D1AAB6-0411-4041-8174-51AF8C212E67}" xr6:coauthVersionLast="47" xr6:coauthVersionMax="47" xr10:uidLastSave="{00000000-0000-0000-0000-000000000000}"/>
  <bookViews>
    <workbookView xWindow="-120" yWindow="-120" windowWidth="20730" windowHeight="11160" tabRatio="729" firstSheet="1" activeTab="2" xr2:uid="{00000000-000D-0000-FFFF-FFFF00000000}"/>
  </bookViews>
  <sheets>
    <sheet name="入力画面" sheetId="24" state="hidden" r:id="rId1"/>
    <sheet name="Guideline" sheetId="38" r:id="rId2"/>
    <sheet name="Home country (Form 1 &amp; Form 2)" sheetId="37" r:id="rId3"/>
    <sheet name="Flag state (Form 3)" sheetId="39" r:id="rId4"/>
  </sheets>
  <calcPr calcId="191029"/>
</workbook>
</file>

<file path=xl/calcChain.xml><?xml version="1.0" encoding="utf-8"?>
<calcChain xmlns="http://schemas.openxmlformats.org/spreadsheetml/2006/main">
  <c r="Q4" i="39" l="1"/>
  <c r="H4" i="39"/>
  <c r="E4" i="39"/>
  <c r="F81" i="37"/>
  <c r="F39" i="39" s="1"/>
  <c r="E81" i="37"/>
  <c r="E39" i="39" s="1"/>
  <c r="D81" i="37"/>
  <c r="D39" i="39" s="1"/>
  <c r="C81" i="37"/>
  <c r="C39" i="39" s="1"/>
  <c r="F80" i="37"/>
  <c r="F38" i="39" s="1"/>
  <c r="E80" i="37"/>
  <c r="E38" i="39" s="1"/>
  <c r="D80" i="37"/>
  <c r="D38" i="39" s="1"/>
  <c r="C80" i="37"/>
  <c r="C38" i="39" s="1"/>
  <c r="F79" i="37"/>
  <c r="F37" i="39" s="1"/>
  <c r="E79" i="37"/>
  <c r="E37" i="39" s="1"/>
  <c r="D79" i="37"/>
  <c r="D37" i="39" s="1"/>
  <c r="C79" i="37"/>
  <c r="C37" i="39" s="1"/>
  <c r="F78" i="37"/>
  <c r="F36" i="39" s="1"/>
  <c r="E78" i="37"/>
  <c r="E36" i="39" s="1"/>
  <c r="D78" i="37"/>
  <c r="D36" i="39" s="1"/>
  <c r="C78" i="37"/>
  <c r="C36" i="39" s="1"/>
  <c r="F77" i="37"/>
  <c r="F35" i="39" s="1"/>
  <c r="E77" i="37"/>
  <c r="E35" i="39" s="1"/>
  <c r="D77" i="37"/>
  <c r="D35" i="39" s="1"/>
  <c r="C77" i="37"/>
  <c r="C35" i="39" s="1"/>
  <c r="F76" i="37"/>
  <c r="F34" i="39" s="1"/>
  <c r="E76" i="37"/>
  <c r="E34" i="39" s="1"/>
  <c r="D76" i="37"/>
  <c r="D34" i="39" s="1"/>
  <c r="C76" i="37"/>
  <c r="C34" i="39" s="1"/>
  <c r="F75" i="37"/>
  <c r="F33" i="39" s="1"/>
  <c r="E75" i="37"/>
  <c r="E33" i="39" s="1"/>
  <c r="D75" i="37"/>
  <c r="D33" i="39" s="1"/>
  <c r="C75" i="37"/>
  <c r="C33" i="39" s="1"/>
  <c r="F74" i="37"/>
  <c r="E74" i="37"/>
  <c r="E32" i="39" s="1"/>
  <c r="D74" i="37"/>
  <c r="D32" i="39" s="1"/>
  <c r="C74" i="37"/>
  <c r="C32" i="39" s="1"/>
  <c r="F73" i="37"/>
  <c r="F31" i="39" s="1"/>
  <c r="E73" i="37"/>
  <c r="E31" i="39" s="1"/>
  <c r="D73" i="37"/>
  <c r="D31" i="39" s="1"/>
  <c r="C73" i="37"/>
  <c r="C31" i="39" s="1"/>
  <c r="F72" i="37"/>
  <c r="F30" i="39" s="1"/>
  <c r="E72" i="37"/>
  <c r="E30" i="39" s="1"/>
  <c r="D72" i="37"/>
  <c r="D30" i="39" s="1"/>
  <c r="C72" i="37"/>
  <c r="C30" i="39" s="1"/>
  <c r="F71" i="37"/>
  <c r="F29" i="39" s="1"/>
  <c r="E71" i="37"/>
  <c r="E29" i="39" s="1"/>
  <c r="D71" i="37"/>
  <c r="D29" i="39" s="1"/>
  <c r="C71" i="37"/>
  <c r="C29" i="39" s="1"/>
  <c r="F70" i="37"/>
  <c r="F28" i="39" s="1"/>
  <c r="E70" i="37"/>
  <c r="E28" i="39" s="1"/>
  <c r="D70" i="37"/>
  <c r="D28" i="39" s="1"/>
  <c r="C70" i="37"/>
  <c r="C28" i="39" s="1"/>
  <c r="F69" i="37"/>
  <c r="F27" i="39" s="1"/>
  <c r="E69" i="37"/>
  <c r="E27" i="39" s="1"/>
  <c r="D69" i="37"/>
  <c r="D27" i="39" s="1"/>
  <c r="C69" i="37"/>
  <c r="C27" i="39" s="1"/>
  <c r="F68" i="37"/>
  <c r="F26" i="39" s="1"/>
  <c r="E68" i="37"/>
  <c r="E26" i="39" s="1"/>
  <c r="D68" i="37"/>
  <c r="D26" i="39" s="1"/>
  <c r="C68" i="37"/>
  <c r="C26" i="39" s="1"/>
  <c r="F67" i="37"/>
  <c r="F25" i="39" s="1"/>
  <c r="E67" i="37"/>
  <c r="E25" i="39" s="1"/>
  <c r="D67" i="37"/>
  <c r="D25" i="39" s="1"/>
  <c r="C67" i="37"/>
  <c r="C25" i="39" s="1"/>
  <c r="F66" i="37"/>
  <c r="F24" i="39" s="1"/>
  <c r="E66" i="37"/>
  <c r="E24" i="39" s="1"/>
  <c r="D66" i="37"/>
  <c r="D24" i="39" s="1"/>
  <c r="C66" i="37"/>
  <c r="C24" i="39" s="1"/>
  <c r="F65" i="37"/>
  <c r="F23" i="39" s="1"/>
  <c r="E65" i="37"/>
  <c r="E23" i="39" s="1"/>
  <c r="D65" i="37"/>
  <c r="D23" i="39" s="1"/>
  <c r="C65" i="37"/>
  <c r="C23" i="39" s="1"/>
  <c r="F64" i="37"/>
  <c r="F22" i="39" s="1"/>
  <c r="E64" i="37"/>
  <c r="E22" i="39" s="1"/>
  <c r="D64" i="37"/>
  <c r="D22" i="39" s="1"/>
  <c r="C64" i="37"/>
  <c r="C22" i="39" s="1"/>
  <c r="F63" i="37"/>
  <c r="F21" i="39" s="1"/>
  <c r="E63" i="37"/>
  <c r="E21" i="39" s="1"/>
  <c r="D63" i="37"/>
  <c r="D21" i="39" s="1"/>
  <c r="C63" i="37"/>
  <c r="C21" i="39" s="1"/>
  <c r="F62" i="37"/>
  <c r="F20" i="39" s="1"/>
  <c r="E62" i="37"/>
  <c r="E20" i="39" s="1"/>
  <c r="D62" i="37"/>
  <c r="D20" i="39" s="1"/>
  <c r="C62" i="37"/>
  <c r="C20" i="39" s="1"/>
  <c r="F61" i="37"/>
  <c r="F19" i="39" s="1"/>
  <c r="E61" i="37"/>
  <c r="E19" i="39" s="1"/>
  <c r="D61" i="37"/>
  <c r="D19" i="39" s="1"/>
  <c r="C61" i="37"/>
  <c r="C19" i="39" s="1"/>
  <c r="F60" i="37"/>
  <c r="F18" i="39" s="1"/>
  <c r="E60" i="37"/>
  <c r="E18" i="39" s="1"/>
  <c r="D60" i="37"/>
  <c r="D18" i="39" s="1"/>
  <c r="C60" i="37"/>
  <c r="C18" i="39" s="1"/>
  <c r="F59" i="37"/>
  <c r="F17" i="39" s="1"/>
  <c r="E59" i="37"/>
  <c r="E17" i="39" s="1"/>
  <c r="D59" i="37"/>
  <c r="D17" i="39" s="1"/>
  <c r="C59" i="37"/>
  <c r="C17" i="39" s="1"/>
  <c r="F58" i="37"/>
  <c r="F16" i="39" s="1"/>
  <c r="E58" i="37"/>
  <c r="E16" i="39" s="1"/>
  <c r="D58" i="37"/>
  <c r="D16" i="39" s="1"/>
  <c r="C58" i="37"/>
  <c r="C16" i="39" s="1"/>
  <c r="F57" i="37"/>
  <c r="F15" i="39" s="1"/>
  <c r="E57" i="37"/>
  <c r="E15" i="39" s="1"/>
  <c r="D57" i="37"/>
  <c r="D15" i="39" s="1"/>
  <c r="C57" i="37"/>
  <c r="C15" i="39" s="1"/>
  <c r="F56" i="37"/>
  <c r="F14" i="39" s="1"/>
  <c r="E56" i="37"/>
  <c r="E14" i="39" s="1"/>
  <c r="D56" i="37"/>
  <c r="D14" i="39" s="1"/>
  <c r="C56" i="37"/>
  <c r="C14" i="39" s="1"/>
  <c r="F55" i="37"/>
  <c r="F13" i="39" s="1"/>
  <c r="E55" i="37"/>
  <c r="E13" i="39" s="1"/>
  <c r="D55" i="37"/>
  <c r="D13" i="39" s="1"/>
  <c r="C55" i="37"/>
  <c r="C13" i="39" s="1"/>
  <c r="F54" i="37"/>
  <c r="F12" i="39" s="1"/>
  <c r="E54" i="37"/>
  <c r="E12" i="39" s="1"/>
  <c r="D54" i="37"/>
  <c r="D12" i="39" s="1"/>
  <c r="C54" i="37"/>
  <c r="C12" i="39" s="1"/>
  <c r="F53" i="37"/>
  <c r="F11" i="39" s="1"/>
  <c r="E53" i="37"/>
  <c r="E11" i="39" s="1"/>
  <c r="D53" i="37"/>
  <c r="D11" i="39" s="1"/>
  <c r="C53" i="37"/>
  <c r="C11" i="39" s="1"/>
  <c r="R45" i="37"/>
  <c r="E45" i="37"/>
  <c r="B41" i="24"/>
  <c r="B40" i="24"/>
  <c r="P36" i="24"/>
  <c r="O36" i="24"/>
  <c r="N36" i="24"/>
  <c r="M36" i="24"/>
  <c r="L36" i="24"/>
  <c r="K36" i="24"/>
  <c r="J36" i="24"/>
  <c r="I36" i="24"/>
  <c r="H36" i="24"/>
  <c r="G36" i="24"/>
  <c r="F36" i="24"/>
  <c r="E36" i="24"/>
  <c r="D36" i="24"/>
  <c r="C36" i="24"/>
  <c r="B36" i="24"/>
  <c r="P35" i="24"/>
  <c r="O35" i="24"/>
  <c r="N35" i="24"/>
  <c r="M35" i="24"/>
  <c r="L35" i="24"/>
  <c r="K35" i="24"/>
  <c r="J35" i="24"/>
  <c r="I35" i="24"/>
  <c r="H35" i="24"/>
  <c r="G35" i="24"/>
  <c r="F35" i="24"/>
  <c r="E35" i="24"/>
  <c r="D35" i="24"/>
  <c r="C35" i="24"/>
  <c r="B35" i="24"/>
  <c r="P34" i="24"/>
  <c r="O34" i="24"/>
  <c r="N34" i="24"/>
  <c r="M34" i="24"/>
  <c r="L34" i="24"/>
  <c r="K34" i="24"/>
  <c r="J34" i="24"/>
  <c r="I34" i="24"/>
  <c r="H34" i="24"/>
  <c r="G34" i="24"/>
  <c r="F34" i="24"/>
  <c r="E34" i="24"/>
  <c r="D34" i="24"/>
  <c r="C34" i="24"/>
  <c r="B34" i="24"/>
  <c r="P33" i="24"/>
  <c r="O33" i="24"/>
  <c r="N33" i="24"/>
  <c r="M33" i="24"/>
  <c r="L33" i="24"/>
  <c r="K33" i="24"/>
  <c r="J33" i="24"/>
  <c r="I33" i="24"/>
  <c r="H33" i="24"/>
  <c r="G33" i="24"/>
  <c r="F33" i="24"/>
  <c r="E33" i="24"/>
  <c r="D33" i="24"/>
  <c r="C33" i="24"/>
  <c r="B33" i="24"/>
  <c r="P32" i="24"/>
  <c r="O32" i="24"/>
  <c r="N32" i="24"/>
  <c r="M32" i="24"/>
  <c r="L32" i="24"/>
  <c r="K32" i="24"/>
  <c r="J32" i="24"/>
  <c r="I32" i="24"/>
  <c r="H32" i="24"/>
  <c r="G32" i="24"/>
  <c r="F32" i="24"/>
  <c r="E32" i="24"/>
  <c r="D32" i="24"/>
  <c r="C32" i="24"/>
  <c r="B32" i="24"/>
  <c r="P31" i="24"/>
  <c r="O31" i="24"/>
  <c r="N31" i="24"/>
  <c r="M31" i="24"/>
  <c r="L31" i="24"/>
  <c r="K31" i="24"/>
  <c r="J31" i="24"/>
  <c r="I31" i="24"/>
  <c r="H31" i="24"/>
  <c r="G31" i="24"/>
  <c r="F31" i="24"/>
  <c r="E31" i="24"/>
  <c r="D31" i="24"/>
  <c r="C31" i="24"/>
  <c r="B31" i="24"/>
  <c r="P30" i="24"/>
  <c r="O30" i="24"/>
  <c r="N30" i="24"/>
  <c r="M30" i="24"/>
  <c r="L30" i="24"/>
  <c r="K30" i="24"/>
  <c r="J30" i="24"/>
  <c r="I30" i="24"/>
  <c r="H30" i="24"/>
  <c r="G30" i="24"/>
  <c r="F30" i="24"/>
  <c r="E30" i="24"/>
  <c r="D30" i="24"/>
  <c r="C30" i="24"/>
  <c r="B30" i="24"/>
  <c r="P29" i="24"/>
  <c r="O29" i="24"/>
  <c r="N29" i="24"/>
  <c r="M29" i="24"/>
  <c r="L29" i="24"/>
  <c r="K29" i="24"/>
  <c r="J29" i="24"/>
  <c r="I29" i="24"/>
  <c r="H29" i="24"/>
  <c r="G29" i="24"/>
  <c r="F29" i="24"/>
  <c r="E29" i="24"/>
  <c r="D29" i="24"/>
  <c r="C29" i="24"/>
  <c r="B29" i="24"/>
  <c r="P28" i="24"/>
  <c r="O28" i="24"/>
  <c r="N28" i="24"/>
  <c r="M28" i="24"/>
  <c r="L28" i="24"/>
  <c r="K28" i="24"/>
  <c r="J28" i="24"/>
  <c r="I28" i="24"/>
  <c r="H28" i="24"/>
  <c r="G28" i="24"/>
  <c r="F28" i="24"/>
  <c r="E28" i="24"/>
  <c r="D28" i="24"/>
  <c r="C28" i="24"/>
  <c r="B28" i="24"/>
  <c r="P27" i="24"/>
  <c r="O27" i="24"/>
  <c r="N27" i="24"/>
  <c r="M27" i="24"/>
  <c r="L27" i="24"/>
  <c r="K27" i="24"/>
  <c r="J27" i="24"/>
  <c r="I27" i="24"/>
  <c r="H27" i="24"/>
  <c r="G27" i="24"/>
  <c r="F27" i="24"/>
  <c r="E27" i="24"/>
  <c r="D27" i="24"/>
  <c r="C27" i="24"/>
  <c r="B27" i="24"/>
  <c r="P26" i="24"/>
  <c r="O26" i="24"/>
  <c r="N26" i="24"/>
  <c r="M26" i="24"/>
  <c r="L26" i="24"/>
  <c r="K26" i="24"/>
  <c r="J26" i="24"/>
  <c r="I26" i="24"/>
  <c r="H26" i="24"/>
  <c r="G26" i="24"/>
  <c r="F26" i="24"/>
  <c r="E26" i="24"/>
  <c r="D26" i="24"/>
  <c r="C26" i="24"/>
  <c r="B26" i="24"/>
  <c r="P25" i="24"/>
  <c r="O25" i="24"/>
  <c r="N25" i="24"/>
  <c r="M25" i="24"/>
  <c r="L25" i="24"/>
  <c r="K25" i="24"/>
  <c r="J25" i="24"/>
  <c r="I25" i="24"/>
  <c r="H25" i="24"/>
  <c r="G25" i="24"/>
  <c r="F25" i="24"/>
  <c r="E25" i="24"/>
  <c r="D25" i="24"/>
  <c r="C25" i="24"/>
  <c r="B25" i="24"/>
  <c r="P24" i="24"/>
  <c r="O24" i="24"/>
  <c r="N24" i="24"/>
  <c r="M24" i="24"/>
  <c r="L24" i="24"/>
  <c r="K24" i="24"/>
  <c r="J24" i="24"/>
  <c r="I24" i="24"/>
  <c r="H24" i="24"/>
  <c r="G24" i="24"/>
  <c r="F24" i="24"/>
  <c r="E24" i="24"/>
  <c r="D24" i="24"/>
  <c r="C24" i="24"/>
  <c r="B24" i="24"/>
  <c r="P23" i="24"/>
  <c r="O23" i="24"/>
  <c r="N23" i="24"/>
  <c r="M23" i="24"/>
  <c r="L23" i="24"/>
  <c r="K23" i="24"/>
  <c r="J23" i="24"/>
  <c r="I23" i="24"/>
  <c r="H23" i="24"/>
  <c r="G23" i="24"/>
  <c r="F23" i="24"/>
  <c r="E23" i="24"/>
  <c r="D23" i="24"/>
  <c r="C23" i="24"/>
  <c r="B23" i="24"/>
  <c r="P22" i="24"/>
  <c r="O22" i="24"/>
  <c r="N22" i="24"/>
  <c r="M22" i="24"/>
  <c r="L22" i="24"/>
  <c r="K22" i="24"/>
  <c r="J22" i="24"/>
  <c r="I22" i="24"/>
  <c r="H22" i="24"/>
  <c r="G22" i="24"/>
  <c r="F22" i="24"/>
  <c r="E22" i="24"/>
  <c r="D22" i="24"/>
  <c r="C22" i="24"/>
  <c r="B22" i="24"/>
  <c r="P21" i="24"/>
  <c r="O21" i="24"/>
  <c r="N21" i="24"/>
  <c r="M21" i="24"/>
  <c r="L21" i="24"/>
  <c r="K21" i="24"/>
  <c r="J21" i="24"/>
  <c r="I21" i="24"/>
  <c r="H21" i="24"/>
  <c r="G21" i="24"/>
  <c r="F21" i="24"/>
  <c r="E21" i="24"/>
  <c r="D21" i="24"/>
  <c r="C21" i="24"/>
  <c r="B21" i="24"/>
  <c r="P20" i="24"/>
  <c r="O20" i="24"/>
  <c r="N20" i="24"/>
  <c r="M20" i="24"/>
  <c r="L20" i="24"/>
  <c r="K20" i="24"/>
  <c r="J20" i="24"/>
  <c r="I20" i="24"/>
  <c r="H20" i="24"/>
  <c r="G20" i="24"/>
  <c r="F20" i="24"/>
  <c r="E20" i="24"/>
  <c r="D20" i="24"/>
  <c r="C20" i="24"/>
  <c r="B20" i="24"/>
  <c r="P19" i="24"/>
  <c r="O19" i="24"/>
  <c r="N19" i="24"/>
  <c r="M19" i="24"/>
  <c r="L19" i="24"/>
  <c r="K19" i="24"/>
  <c r="J19" i="24"/>
  <c r="I19" i="24"/>
  <c r="H19" i="24"/>
  <c r="G19" i="24"/>
  <c r="F19" i="24"/>
  <c r="E19" i="24"/>
  <c r="D19" i="24"/>
  <c r="C19" i="24"/>
  <c r="B19" i="24"/>
  <c r="P18" i="24"/>
  <c r="O18" i="24"/>
  <c r="N18" i="24"/>
  <c r="M18" i="24"/>
  <c r="L18" i="24"/>
  <c r="K18" i="24"/>
  <c r="J18" i="24"/>
  <c r="I18" i="24"/>
  <c r="H18" i="24"/>
  <c r="G18" i="24"/>
  <c r="F18" i="24"/>
  <c r="E18" i="24"/>
  <c r="D18" i="24"/>
  <c r="C18" i="24"/>
  <c r="B18" i="24"/>
  <c r="P17" i="24"/>
  <c r="O17" i="24"/>
  <c r="N17" i="24"/>
  <c r="M17" i="24"/>
  <c r="L17" i="24"/>
  <c r="K17" i="24"/>
  <c r="J17" i="24"/>
  <c r="I17" i="24"/>
  <c r="H17" i="24"/>
  <c r="G17" i="24"/>
  <c r="F17" i="24"/>
  <c r="E17" i="24"/>
  <c r="D17" i="24"/>
  <c r="C17" i="24"/>
  <c r="B17" i="24"/>
  <c r="P16" i="24"/>
  <c r="O16" i="24"/>
  <c r="N16" i="24"/>
  <c r="M16" i="24"/>
  <c r="L16" i="24"/>
  <c r="K16" i="24"/>
  <c r="J16" i="24"/>
  <c r="I16" i="24"/>
  <c r="H16" i="24"/>
  <c r="G16" i="24"/>
  <c r="F16" i="24"/>
  <c r="E16" i="24"/>
  <c r="D16" i="24"/>
  <c r="C16" i="24"/>
  <c r="B16" i="24"/>
  <c r="P15" i="24"/>
  <c r="O15" i="24"/>
  <c r="N15" i="24"/>
  <c r="M15" i="24"/>
  <c r="L15" i="24"/>
  <c r="K15" i="24"/>
  <c r="J15" i="24"/>
  <c r="I15" i="24"/>
  <c r="H15" i="24"/>
  <c r="G15" i="24"/>
  <c r="F15" i="24"/>
  <c r="E15" i="24"/>
  <c r="D15" i="24"/>
  <c r="C15" i="24"/>
  <c r="B15" i="24"/>
  <c r="P14" i="24"/>
  <c r="O14" i="24"/>
  <c r="N14" i="24"/>
  <c r="M14" i="24"/>
  <c r="L14" i="24"/>
  <c r="K14" i="24"/>
  <c r="J14" i="24"/>
  <c r="I14" i="24"/>
  <c r="H14" i="24"/>
  <c r="G14" i="24"/>
  <c r="F14" i="24"/>
  <c r="E14" i="24"/>
  <c r="D14" i="24"/>
  <c r="C14" i="24"/>
  <c r="B14" i="24"/>
  <c r="P13" i="24"/>
  <c r="O13" i="24"/>
  <c r="N13" i="24"/>
  <c r="M13" i="24"/>
  <c r="L13" i="24"/>
  <c r="K13" i="24"/>
  <c r="J13" i="24"/>
  <c r="I13" i="24"/>
  <c r="H13" i="24"/>
  <c r="G13" i="24"/>
  <c r="F13" i="24"/>
  <c r="E13" i="24"/>
  <c r="D13" i="24"/>
  <c r="C13" i="24"/>
  <c r="B13" i="24"/>
  <c r="P12" i="24"/>
  <c r="O12" i="24"/>
  <c r="N12" i="24"/>
  <c r="M12" i="24"/>
  <c r="L12" i="24"/>
  <c r="K12" i="24"/>
  <c r="J12" i="24"/>
  <c r="I12" i="24"/>
  <c r="H12" i="24"/>
  <c r="G12" i="24"/>
  <c r="F12" i="24"/>
  <c r="E12" i="24"/>
  <c r="D12" i="24"/>
  <c r="C12" i="24"/>
  <c r="B12" i="24"/>
  <c r="P11" i="24"/>
  <c r="O11" i="24"/>
  <c r="N11" i="24"/>
  <c r="M11" i="24"/>
  <c r="L11" i="24"/>
  <c r="K11" i="24"/>
  <c r="J11" i="24"/>
  <c r="I11" i="24"/>
  <c r="H11" i="24"/>
  <c r="G11" i="24"/>
  <c r="F11" i="24"/>
  <c r="E11" i="24"/>
  <c r="D11" i="24"/>
  <c r="C11" i="24"/>
  <c r="B11" i="24"/>
  <c r="P10" i="24"/>
  <c r="O10" i="24"/>
  <c r="N10" i="24"/>
  <c r="M10" i="24"/>
  <c r="L10" i="24"/>
  <c r="K10" i="24"/>
  <c r="J10" i="24"/>
  <c r="I10" i="24"/>
  <c r="H10" i="24"/>
  <c r="G10" i="24"/>
  <c r="F10" i="24"/>
  <c r="E10" i="24"/>
  <c r="D10" i="24"/>
  <c r="C10" i="24"/>
  <c r="B10" i="24"/>
  <c r="P9" i="24"/>
  <c r="O9" i="24"/>
  <c r="N9" i="24"/>
  <c r="M9" i="24"/>
  <c r="L9" i="24"/>
  <c r="K9" i="24"/>
  <c r="J9" i="24"/>
  <c r="I9" i="24"/>
  <c r="H9" i="24"/>
  <c r="G9" i="24"/>
  <c r="F9" i="24"/>
  <c r="E9" i="24"/>
  <c r="D9" i="24"/>
  <c r="C9" i="24"/>
  <c r="B9" i="24"/>
  <c r="D6" i="24"/>
  <c r="H5" i="24"/>
  <c r="D4" i="24"/>
  <c r="E3" i="24"/>
  <c r="D3" i="24"/>
  <c r="H2" i="24"/>
  <c r="D2" i="24"/>
  <c r="D1"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orcauser</author>
  </authors>
  <commentList>
    <comment ref="J8" authorId="0" shapeId="0" xr:uid="{00000000-0006-0000-0000-000001000000}">
      <text>
        <r>
          <rPr>
            <b/>
            <sz val="9"/>
            <color indexed="81"/>
            <rFont val="ＭＳ Ｐゴシック"/>
            <family val="3"/>
            <charset val="128"/>
          </rPr>
          <t>orcauser:</t>
        </r>
        <r>
          <rPr>
            <sz val="9"/>
            <color indexed="81"/>
            <rFont val="ＭＳ Ｐゴシック"/>
            <family val="3"/>
            <charset val="128"/>
          </rPr>
          <t xml:space="preserve">
　　/で入力</t>
        </r>
      </text>
    </comment>
    <comment ref="K8" authorId="0" shapeId="0" xr:uid="{00000000-0006-0000-0000-000002000000}">
      <text>
        <r>
          <rPr>
            <b/>
            <sz val="9"/>
            <color indexed="81"/>
            <rFont val="ＭＳ Ｐゴシック"/>
            <family val="3"/>
            <charset val="128"/>
          </rPr>
          <t>orcauser:</t>
        </r>
        <r>
          <rPr>
            <sz val="9"/>
            <color indexed="81"/>
            <rFont val="ＭＳ Ｐゴシック"/>
            <family val="3"/>
            <charset val="128"/>
          </rPr>
          <t xml:space="preserve">
　　｡で入力</t>
        </r>
      </text>
    </comment>
    <comment ref="P8" authorId="0" shapeId="0" xr:uid="{00000000-0006-0000-0000-000003000000}">
      <text>
        <r>
          <rPr>
            <b/>
            <sz val="9"/>
            <color indexed="81"/>
            <rFont val="ＭＳ Ｐゴシック"/>
            <family val="3"/>
            <charset val="128"/>
          </rPr>
          <t>orcauser:</t>
        </r>
        <r>
          <rPr>
            <sz val="9"/>
            <color indexed="81"/>
            <rFont val="ＭＳ Ｐゴシック"/>
            <family val="3"/>
            <charset val="128"/>
          </rPr>
          <t xml:space="preserve">
　　/で入力</t>
        </r>
      </text>
    </comment>
  </commentList>
</comments>
</file>

<file path=xl/sharedStrings.xml><?xml version="1.0" encoding="utf-8"?>
<sst xmlns="http://schemas.openxmlformats.org/spreadsheetml/2006/main" count="756" uniqueCount="487">
  <si>
    <t>番号</t>
  </si>
  <si>
    <t>職名</t>
  </si>
  <si>
    <t>生年月日</t>
  </si>
  <si>
    <t>PASSPORT NO.</t>
  </si>
  <si>
    <t>2.到着港※／出発港※</t>
  </si>
  <si>
    <t>Voyage No.</t>
  </si>
  <si>
    <t>乗組員名簿</t>
  </si>
  <si>
    <t>CREW LIST</t>
  </si>
  <si>
    <t>Name of Port</t>
  </si>
  <si>
    <t>Date of Arrival</t>
  </si>
  <si>
    <t>到着</t>
  </si>
  <si>
    <t>出発</t>
  </si>
  <si>
    <t>Arrival</t>
  </si>
  <si>
    <t>Departure</t>
  </si>
  <si>
    <t>1.船舶の名称</t>
  </si>
  <si>
    <t>3.到着日※／出発日※</t>
  </si>
  <si>
    <t>　　Name of ship</t>
  </si>
  <si>
    <t>Port of arrival/depature</t>
  </si>
  <si>
    <t>Date of arrival/depature</t>
  </si>
  <si>
    <t>4.船舶の国籍</t>
  </si>
  <si>
    <t>5.前寄港地※</t>
  </si>
  <si>
    <t>　　Nationality of ship</t>
  </si>
  <si>
    <t>Port arrived from</t>
  </si>
  <si>
    <t>Rank</t>
  </si>
  <si>
    <t xml:space="preserve">日本書式用氏名                         </t>
  </si>
  <si>
    <t>Family Name</t>
  </si>
  <si>
    <t>Given Name</t>
  </si>
  <si>
    <t>Country of Birth</t>
  </si>
  <si>
    <t>Nationality</t>
  </si>
  <si>
    <t>　乗船日及び場所</t>
  </si>
  <si>
    <t>現住所　/　国籍</t>
  </si>
  <si>
    <t>Passport Expiry</t>
  </si>
  <si>
    <t>日付及び船長又は委任を受けた代理人若しくは船舶の職員による署名</t>
  </si>
  <si>
    <t>Date and signature by master, authorizedagent or officer</t>
  </si>
  <si>
    <t>(注）　　※の付されている項目については記入不要。</t>
  </si>
  <si>
    <t>船長   宮野　修司</t>
  </si>
  <si>
    <t>Note    It is not necessary to fill in the item marked"※"</t>
  </si>
  <si>
    <t>yyyy/mm/dd</t>
    <phoneticPr fontId="8"/>
  </si>
  <si>
    <t>大文字入力</t>
    <rPh sb="0" eb="3">
      <t>オオモジ</t>
    </rPh>
    <rPh sb="3" eb="5">
      <t>ニュウリョク</t>
    </rPh>
    <phoneticPr fontId="8"/>
  </si>
  <si>
    <t>MASTER</t>
  </si>
  <si>
    <t>C/O</t>
  </si>
  <si>
    <t>2/O</t>
  </si>
  <si>
    <t>C/E</t>
  </si>
  <si>
    <t/>
  </si>
  <si>
    <t>BSN</t>
  </si>
  <si>
    <t>A/B</t>
  </si>
  <si>
    <t>O/S</t>
  </si>
  <si>
    <t>#1OLR</t>
  </si>
  <si>
    <t>OLR</t>
  </si>
  <si>
    <t>WPR</t>
  </si>
  <si>
    <t>M/M</t>
  </si>
  <si>
    <t>RANK</t>
  </si>
  <si>
    <t>NAME</t>
  </si>
  <si>
    <t>DATE OF BIRTH</t>
  </si>
  <si>
    <t>PASSPORT</t>
  </si>
  <si>
    <t>Yellow</t>
  </si>
  <si>
    <t>Medical</t>
  </si>
  <si>
    <t>FAMILY</t>
  </si>
  <si>
    <t>GIVEN</t>
  </si>
  <si>
    <t>NATIONALITY</t>
  </si>
  <si>
    <t>Fever</t>
  </si>
  <si>
    <t>EXP Date</t>
  </si>
  <si>
    <t>3/E</t>
  </si>
  <si>
    <t>D/B</t>
  </si>
  <si>
    <t xml:space="preserve">Home Coutry </t>
    <phoneticPr fontId="8"/>
  </si>
  <si>
    <t>COC</t>
    <phoneticPr fontId="8"/>
  </si>
  <si>
    <t>Registry :</t>
    <phoneticPr fontId="8"/>
  </si>
  <si>
    <t>Name of vessel :</t>
    <phoneticPr fontId="8"/>
  </si>
  <si>
    <t>Date :</t>
    <phoneticPr fontId="8"/>
  </si>
  <si>
    <t>GMDSS</t>
    <phoneticPr fontId="8"/>
  </si>
  <si>
    <t>Security</t>
    <phoneticPr fontId="8"/>
  </si>
  <si>
    <t>TRAINING Certificate</t>
    <phoneticPr fontId="8"/>
  </si>
  <si>
    <t>Check</t>
    <phoneticPr fontId="8"/>
  </si>
  <si>
    <t>ECDIS</t>
    <phoneticPr fontId="8"/>
  </si>
  <si>
    <t>GENERIC</t>
    <phoneticPr fontId="8"/>
  </si>
  <si>
    <t>Cert. No.</t>
    <phoneticPr fontId="8"/>
  </si>
  <si>
    <t>Expire</t>
    <phoneticPr fontId="8"/>
  </si>
  <si>
    <t>STCW Training Cert.</t>
    <phoneticPr fontId="8"/>
  </si>
  <si>
    <t>Basic Training</t>
    <phoneticPr fontId="8"/>
  </si>
  <si>
    <t>Survival craft &amp; Rescure boat</t>
    <phoneticPr fontId="8"/>
  </si>
  <si>
    <t>STCW A-VI/2 , 5&amp;11</t>
    <phoneticPr fontId="8"/>
  </si>
  <si>
    <t>Advanced Fire Fighting</t>
    <phoneticPr fontId="8"/>
  </si>
  <si>
    <t>STCW A-VI/3 , 5</t>
    <phoneticPr fontId="8"/>
  </si>
  <si>
    <t>BRM
 or
 ERM</t>
    <phoneticPr fontId="8"/>
  </si>
  <si>
    <t>SPECIFIC</t>
    <phoneticPr fontId="8"/>
  </si>
  <si>
    <t>Watch</t>
    <phoneticPr fontId="8"/>
  </si>
  <si>
    <t>Keeping</t>
    <phoneticPr fontId="8"/>
  </si>
  <si>
    <t>(SSO / SDSD)</t>
    <phoneticPr fontId="8"/>
  </si>
  <si>
    <t>FAMILY</t>
    <phoneticPr fontId="8"/>
  </si>
  <si>
    <t>GIVEN</t>
    <phoneticPr fontId="8"/>
  </si>
  <si>
    <t>Seamen's Book</t>
    <phoneticPr fontId="8"/>
  </si>
  <si>
    <t>Flag state</t>
    <phoneticPr fontId="8"/>
  </si>
  <si>
    <t>3 - 1</t>
    <phoneticPr fontId="8"/>
  </si>
  <si>
    <t>3 - 2</t>
    <phoneticPr fontId="8"/>
  </si>
  <si>
    <t>3 - 3</t>
    <phoneticPr fontId="8"/>
  </si>
  <si>
    <t>2 - 1</t>
    <phoneticPr fontId="8"/>
  </si>
  <si>
    <t>2 - 2</t>
    <phoneticPr fontId="8"/>
  </si>
  <si>
    <t>2 - 3</t>
    <phoneticPr fontId="8"/>
  </si>
  <si>
    <t>2 - 4</t>
    <phoneticPr fontId="8"/>
  </si>
  <si>
    <t>2 - 5</t>
    <phoneticPr fontId="8"/>
  </si>
  <si>
    <t>2 - 6</t>
    <phoneticPr fontId="8"/>
  </si>
  <si>
    <t>2 - 7</t>
    <phoneticPr fontId="8"/>
  </si>
  <si>
    <t>2 - 8</t>
    <phoneticPr fontId="8"/>
  </si>
  <si>
    <t>2 - 9</t>
    <phoneticPr fontId="8"/>
  </si>
  <si>
    <t>1 - 1</t>
    <phoneticPr fontId="8"/>
  </si>
  <si>
    <t>1 - 2</t>
    <phoneticPr fontId="8"/>
  </si>
  <si>
    <t>1 - 3</t>
    <phoneticPr fontId="8"/>
  </si>
  <si>
    <t>1 -4</t>
    <phoneticPr fontId="8"/>
  </si>
  <si>
    <t>1 - 5</t>
    <phoneticPr fontId="8"/>
  </si>
  <si>
    <t xml:space="preserve">1 - 6 </t>
    <phoneticPr fontId="8"/>
  </si>
  <si>
    <t>1 - 7</t>
    <phoneticPr fontId="8"/>
  </si>
  <si>
    <t>1 - 8</t>
    <phoneticPr fontId="8"/>
  </si>
  <si>
    <t>1 - 9</t>
    <phoneticPr fontId="8"/>
  </si>
  <si>
    <t>1 - 10</t>
    <phoneticPr fontId="8"/>
  </si>
  <si>
    <t>1 - 11</t>
    <phoneticPr fontId="8"/>
  </si>
  <si>
    <t>1 - 12</t>
    <phoneticPr fontId="8"/>
  </si>
  <si>
    <t>1-4. Nationality</t>
    <phoneticPr fontId="8"/>
  </si>
  <si>
    <t>1-2. &amp; 1-3. Name</t>
    <phoneticPr fontId="8"/>
  </si>
  <si>
    <t>1-5. Passport</t>
    <phoneticPr fontId="8"/>
  </si>
  <si>
    <t>1-1. Rank</t>
    <phoneticPr fontId="8"/>
  </si>
  <si>
    <t>1-6. COC (Certificate of competency)</t>
    <phoneticPr fontId="8"/>
  </si>
  <si>
    <t>1-7. Seamen's Book</t>
    <phoneticPr fontId="8"/>
  </si>
  <si>
    <t xml:space="preserve">Form "1"      Certification of Home country </t>
    <phoneticPr fontId="8"/>
  </si>
  <si>
    <t>Subject</t>
    <phoneticPr fontId="8"/>
  </si>
  <si>
    <t>Remark</t>
    <phoneticPr fontId="8"/>
  </si>
  <si>
    <t>All Crew</t>
    <phoneticPr fontId="8"/>
  </si>
  <si>
    <t>All Crew &amp; Cadet</t>
    <phoneticPr fontId="8"/>
  </si>
  <si>
    <t xml:space="preserve">1-8. GMDSS </t>
    <phoneticPr fontId="8"/>
  </si>
  <si>
    <t>Deck officer &amp; Engineer</t>
    <phoneticPr fontId="8"/>
  </si>
  <si>
    <t>SSO - Master and/or C/O</t>
    <phoneticPr fontId="8"/>
  </si>
  <si>
    <t xml:space="preserve">SDSD - all crew except the person </t>
    <phoneticPr fontId="8"/>
  </si>
  <si>
    <t>who has SSO cert.</t>
    <phoneticPr fontId="8"/>
  </si>
  <si>
    <t>Watch Keeping - Deck and Eng. Rating</t>
    <phoneticPr fontId="8"/>
  </si>
  <si>
    <t>Medicare - Master and C/O</t>
    <phoneticPr fontId="8"/>
  </si>
  <si>
    <t>First aid - all crew.</t>
    <phoneticPr fontId="8"/>
  </si>
  <si>
    <t xml:space="preserve">Form "2"      Training certification of Home country </t>
    <phoneticPr fontId="8"/>
  </si>
  <si>
    <t>2-1. Rank</t>
    <phoneticPr fontId="8"/>
  </si>
  <si>
    <t>2-2. &amp; 2-3. Name</t>
    <phoneticPr fontId="8"/>
  </si>
  <si>
    <t>2-4. Nationality</t>
    <phoneticPr fontId="8"/>
  </si>
  <si>
    <t>2-6. ECDIS</t>
    <phoneticPr fontId="8"/>
  </si>
  <si>
    <r>
      <t>DATE OF</t>
    </r>
    <r>
      <rPr>
        <sz val="10"/>
        <rFont val="ＭＳ Ｐゴシック"/>
        <family val="3"/>
        <charset val="128"/>
      </rPr>
      <t>　</t>
    </r>
    <r>
      <rPr>
        <sz val="10"/>
        <rFont val="Arial"/>
        <family val="2"/>
      </rPr>
      <t>JOIN</t>
    </r>
    <phoneticPr fontId="8"/>
  </si>
  <si>
    <t>3 - 4</t>
    <phoneticPr fontId="8"/>
  </si>
  <si>
    <t>3 - 5</t>
    <phoneticPr fontId="8"/>
  </si>
  <si>
    <t>3 - 6</t>
    <phoneticPr fontId="8"/>
  </si>
  <si>
    <t>3 - 7</t>
    <phoneticPr fontId="8"/>
  </si>
  <si>
    <t>3 - 8</t>
    <phoneticPr fontId="8"/>
  </si>
  <si>
    <t>3 - 9</t>
    <phoneticPr fontId="8"/>
  </si>
  <si>
    <t>2 - 10</t>
    <phoneticPr fontId="8"/>
  </si>
  <si>
    <t>STCW VI/1 *1</t>
    <phoneticPr fontId="8"/>
  </si>
  <si>
    <t>Input the rank of crew.</t>
    <phoneticPr fontId="8"/>
  </si>
  <si>
    <t>Input the name of crew.</t>
    <phoneticPr fontId="8"/>
  </si>
  <si>
    <t>Input the nationality  of crew.</t>
    <phoneticPr fontId="8"/>
  </si>
  <si>
    <t>SSO - Ship Security Officer</t>
    <phoneticPr fontId="8"/>
  </si>
  <si>
    <t>SDSD - Seafarers with Designated Security Duties.</t>
    <phoneticPr fontId="8"/>
  </si>
  <si>
    <t>Auto input from "Form 1".</t>
    <phoneticPr fontId="8"/>
  </si>
  <si>
    <t>(Medicare - Medical Care.)</t>
    <phoneticPr fontId="8"/>
  </si>
  <si>
    <t>Form "3"      Certification of Flag State</t>
    <phoneticPr fontId="8"/>
  </si>
  <si>
    <t>3-1. Rank</t>
    <phoneticPr fontId="8"/>
  </si>
  <si>
    <t>3-2. &amp; 3-3. Name</t>
    <phoneticPr fontId="8"/>
  </si>
  <si>
    <t>3-4. Nationality</t>
    <phoneticPr fontId="8"/>
  </si>
  <si>
    <t>3-6. Seamen's Book</t>
    <phoneticPr fontId="8"/>
  </si>
  <si>
    <t>All crew</t>
    <phoneticPr fontId="8"/>
  </si>
  <si>
    <t>Catering Dep.</t>
    <phoneticPr fontId="8"/>
  </si>
  <si>
    <t xml:space="preserve">*At least, one SSO holder must </t>
    <phoneticPr fontId="8"/>
  </si>
  <si>
    <t>Prepared by Master</t>
    <phoneticPr fontId="8"/>
  </si>
  <si>
    <t>"Form 3"</t>
    <phoneticPr fontId="8"/>
  </si>
  <si>
    <t>"Form 1"</t>
    <phoneticPr fontId="8"/>
  </si>
  <si>
    <t>"Form 2"</t>
    <phoneticPr fontId="8"/>
  </si>
  <si>
    <t>Deck Officer</t>
    <phoneticPr fontId="8"/>
  </si>
  <si>
    <t>Crew Roll for Certificate</t>
    <phoneticPr fontId="8"/>
  </si>
  <si>
    <t>Crew Roll for Certificate</t>
    <phoneticPr fontId="8"/>
  </si>
  <si>
    <t>2 - 11</t>
    <phoneticPr fontId="8"/>
  </si>
  <si>
    <t xml:space="preserve">*1 For Japanese officer has two certificates, "STCW A-VI/1 Basic Training" &amp; "STCW A-VI/1 paragraph 3, Personal survival techiques, Fire Prevention and Fire Fighting". Please record above "Basic Training" certificate only. </t>
    <phoneticPr fontId="8"/>
  </si>
  <si>
    <t xml:space="preserve">Input Certificate No. &amp; expiry date of the passport. </t>
    <phoneticPr fontId="8"/>
  </si>
  <si>
    <t xml:space="preserve">Input Certificate No. &amp; expiry date of home country COC. </t>
    <phoneticPr fontId="8"/>
  </si>
  <si>
    <t xml:space="preserve">Input Seamen's book No. &amp; expiry date of home country. </t>
    <phoneticPr fontId="8"/>
  </si>
  <si>
    <t>Input GMDSS certificate No. &amp; expiry date of home country.</t>
    <phoneticPr fontId="8"/>
  </si>
  <si>
    <t>Input security certificate No. &amp; expiry date (SSO or SDSD) of home country.</t>
    <phoneticPr fontId="8"/>
  </si>
  <si>
    <t>Ship's Cook</t>
    <phoneticPr fontId="8"/>
  </si>
  <si>
    <t xml:space="preserve">Input Expiry date of medical check. </t>
    <phoneticPr fontId="8"/>
  </si>
  <si>
    <t>(Company rule - The Expiry date is 1 year from last medical check. Ref: SMC-1601)</t>
    <phoneticPr fontId="8"/>
  </si>
  <si>
    <t xml:space="preserve">    Please arrange medical check for crew in appropriate timing, whose medical check will expire in near future.</t>
    <phoneticPr fontId="8"/>
  </si>
  <si>
    <t>All Crew</t>
    <phoneticPr fontId="8"/>
  </si>
  <si>
    <t>2-10. BRM or ERM Certificate</t>
    <phoneticPr fontId="8"/>
  </si>
  <si>
    <t>2-8. STCW training certificate, A-VI/2 Proficiency in survival craft,
       rescue boats.</t>
    <phoneticPr fontId="8"/>
  </si>
  <si>
    <t>2-9. STCW training certificate, A-VI-3 Advanced fire fighting</t>
    <phoneticPr fontId="8"/>
  </si>
  <si>
    <t>ERM for Engineers</t>
    <phoneticPr fontId="8"/>
  </si>
  <si>
    <t>2-11. Certificate issued by Home Country or STCW training 
         certificate, A-VI/4 Medical first aid</t>
    <phoneticPr fontId="8"/>
  </si>
  <si>
    <t>* For Japanese officer, his COC already includes STCW A-VI/4 First aid without any certificate.</t>
    <phoneticPr fontId="8"/>
  </si>
  <si>
    <t xml:space="preserve">   Record "N/A" on "Crew Roll List" for Japanese officer.</t>
    <phoneticPr fontId="8"/>
  </si>
  <si>
    <t xml:space="preserve">Input Certificate No. and Expiry date of Flag state COC. </t>
    <phoneticPr fontId="8"/>
  </si>
  <si>
    <t xml:space="preserve">Input Seamen's book No. &amp; expiry date of Flag state. </t>
    <phoneticPr fontId="8"/>
  </si>
  <si>
    <t>be on board the vessel</t>
    <phoneticPr fontId="8"/>
  </si>
  <si>
    <t>Input certificate No. respectively.</t>
    <phoneticPr fontId="8"/>
  </si>
  <si>
    <t>BRM for Master and Deck Officers</t>
    <phoneticPr fontId="8"/>
  </si>
  <si>
    <t>Deck Officer &amp; Engineer</t>
    <phoneticPr fontId="8"/>
  </si>
  <si>
    <t>Input "Yes" in the box of Cert.No. in Item 3-8.</t>
    <phoneticPr fontId="8"/>
  </si>
  <si>
    <t>3-5. COC (Certificate of competency) endorsement</t>
    <phoneticPr fontId="8"/>
  </si>
  <si>
    <t>be onboard the vessel</t>
    <phoneticPr fontId="8"/>
  </si>
  <si>
    <t>Medicare</t>
    <phoneticPr fontId="8"/>
  </si>
  <si>
    <t>or</t>
    <phoneticPr fontId="8"/>
  </si>
  <si>
    <t>First aid</t>
    <phoneticPr fontId="8"/>
  </si>
  <si>
    <t>Master and Deck Officer</t>
    <phoneticPr fontId="8"/>
  </si>
  <si>
    <t>Input both certificate No. of ECDIS Generic and Type specific.</t>
    <phoneticPr fontId="8"/>
  </si>
  <si>
    <t>Input certificate No. of applicable Type specific of ECDIS onboard.</t>
    <phoneticPr fontId="8"/>
  </si>
  <si>
    <t xml:space="preserve">Input certificate No. &amp; expiry date of Basis training of home country. </t>
    <phoneticPr fontId="8"/>
  </si>
  <si>
    <t>Input certificate No. &amp; expiry date of Basis training of home country.</t>
    <phoneticPr fontId="8"/>
  </si>
  <si>
    <t>Input certificate No. &amp; expiry date of Basic training of home country.</t>
    <phoneticPr fontId="8"/>
  </si>
  <si>
    <t>Date of Ending Seafarer's Employment Agreement</t>
    <phoneticPr fontId="8"/>
  </si>
  <si>
    <t>&lt;Liberia Flag&gt;</t>
    <phoneticPr fontId="8"/>
  </si>
  <si>
    <t>2-5. Date of Birth / Join / Ending Seafarer's Employment Agreement</t>
    <phoneticPr fontId="8"/>
  </si>
  <si>
    <t>All Crew (Except Japanese Officers)</t>
    <phoneticPr fontId="8"/>
  </si>
  <si>
    <t>Input date of birth and join the vessel.</t>
    <phoneticPr fontId="8"/>
  </si>
  <si>
    <t>Input date of Ending Seafarer's Employment Agreement.</t>
    <phoneticPr fontId="8"/>
  </si>
  <si>
    <t xml:space="preserve">Date of Ending Seafarer's Employment Agreement (S.E.A)  means </t>
    <phoneticPr fontId="8"/>
  </si>
  <si>
    <t>the period on S.E.A. plus one month as per CBA and CA.</t>
    <phoneticPr fontId="8"/>
  </si>
  <si>
    <t>(For Japanese Officers, input "N/A".)</t>
    <phoneticPr fontId="8"/>
  </si>
  <si>
    <t>3-7. Watch keeping endorsement (SQC)</t>
    <phoneticPr fontId="8"/>
  </si>
  <si>
    <t>SQC:Special Qualification Certificate</t>
    <phoneticPr fontId="8"/>
  </si>
  <si>
    <t>3-8. Ship's Cook endorsement (SQC)</t>
    <phoneticPr fontId="8"/>
  </si>
  <si>
    <t>3-9. Security endorsement (SQC)</t>
    <phoneticPr fontId="8"/>
  </si>
  <si>
    <t>&lt;Crew  Who has SDSD holder except SSO holder&gt;</t>
    <phoneticPr fontId="8"/>
  </si>
  <si>
    <t>Auto input from "Form 1".</t>
    <phoneticPr fontId="8"/>
  </si>
  <si>
    <t>LIBERIA</t>
    <phoneticPr fontId="8"/>
  </si>
  <si>
    <t>Cook(SQC)</t>
    <phoneticPr fontId="8"/>
  </si>
  <si>
    <t>Security(SQC)</t>
    <phoneticPr fontId="8"/>
  </si>
  <si>
    <t>3-10</t>
    <phoneticPr fontId="8"/>
  </si>
  <si>
    <t>Basic Special</t>
    <phoneticPr fontId="8"/>
  </si>
  <si>
    <t>Certificate</t>
    <phoneticPr fontId="8"/>
  </si>
  <si>
    <t xml:space="preserve">Input "Yes" and "Expiry date", if crew has watch keeping </t>
    <phoneticPr fontId="8"/>
  </si>
  <si>
    <t>on Seamen's book.</t>
    <phoneticPr fontId="8"/>
  </si>
  <si>
    <t>Input "SSO" and "Expiry date", if crew has watch keeping</t>
    <phoneticPr fontId="8"/>
  </si>
  <si>
    <t xml:space="preserve"> on Seamen's book.</t>
    <phoneticPr fontId="8"/>
  </si>
  <si>
    <t xml:space="preserve">Input "SDSD" and "Expiry date", if crew has watch keeping </t>
    <phoneticPr fontId="8"/>
  </si>
  <si>
    <t>Watch Keeping (SQC)</t>
    <phoneticPr fontId="8"/>
  </si>
  <si>
    <t>(SQC)</t>
    <phoneticPr fontId="8"/>
  </si>
  <si>
    <t>3-10. Basic Special Certificate (SQC)</t>
    <phoneticPr fontId="8"/>
  </si>
  <si>
    <t>Input "Yes" after confirming SQC</t>
    <phoneticPr fontId="8"/>
  </si>
  <si>
    <t xml:space="preserve"> All crew must hold this SQC</t>
    <phoneticPr fontId="8"/>
  </si>
  <si>
    <t>YYYY/MM/DD</t>
    <phoneticPr fontId="8"/>
  </si>
  <si>
    <t>YYYY/MM/DD</t>
    <phoneticPr fontId="8"/>
  </si>
  <si>
    <t>YYYY/MM/DD</t>
    <phoneticPr fontId="8"/>
  </si>
  <si>
    <t xml:space="preserve">     - Other than SEA, and Medical check :  6 month to expire = Yellow, then after expired = Red</t>
    <phoneticPr fontId="8"/>
  </si>
  <si>
    <t>EXP Date</t>
    <phoneticPr fontId="8"/>
  </si>
  <si>
    <t>Input Expiry date of Yellow Fever.</t>
    <phoneticPr fontId="8"/>
  </si>
  <si>
    <t>1-9. Security (SSO / SDSD)</t>
    <phoneticPr fontId="8"/>
  </si>
  <si>
    <t>1-10. Watch Keeping / Ship's Cook</t>
    <phoneticPr fontId="8"/>
  </si>
  <si>
    <t>1-11. Yellow Fever</t>
    <phoneticPr fontId="8"/>
  </si>
  <si>
    <t>1-12. Medical check</t>
    <phoneticPr fontId="8"/>
  </si>
  <si>
    <r>
      <rPr>
        <sz val="12"/>
        <rFont val="ＭＳ Ｐゴシック"/>
        <family val="3"/>
        <charset val="128"/>
      </rPr>
      <t>☆　</t>
    </r>
    <r>
      <rPr>
        <sz val="12"/>
        <rFont val="Arial"/>
        <family val="2"/>
      </rPr>
      <t>Certificates and license with validity to be high-lighted automatically programmed based on following  conditions.</t>
    </r>
    <phoneticPr fontId="8"/>
  </si>
  <si>
    <r>
      <t xml:space="preserve">     </t>
    </r>
    <r>
      <rPr>
        <sz val="12"/>
        <rFont val="ＭＳ Ｐゴシック"/>
        <family val="3"/>
        <charset val="128"/>
      </rPr>
      <t xml:space="preserve">- </t>
    </r>
    <r>
      <rPr>
        <sz val="12"/>
        <rFont val="Arial"/>
        <family val="2"/>
      </rPr>
      <t>Employment agreement (SEA)/Medical check : 31 days to expire = Yellow, then after expired = Red</t>
    </r>
    <phoneticPr fontId="8"/>
  </si>
  <si>
    <r>
      <rPr>
        <sz val="12"/>
        <rFont val="ＭＳ Ｐゴシック"/>
        <family val="3"/>
        <charset val="128"/>
      </rPr>
      <t>☆☆　</t>
    </r>
    <r>
      <rPr>
        <sz val="12"/>
        <rFont val="Arial"/>
        <family val="2"/>
      </rPr>
      <t>For the double checking purpose, master is requested to inform to manning company, and</t>
    </r>
    <phoneticPr fontId="8"/>
  </si>
  <si>
    <r>
      <t xml:space="preserve">If validity is stated as lifetime(life of person vaccinated) </t>
    </r>
    <r>
      <rPr>
        <sz val="12"/>
        <rFont val="ＭＳ Ｐゴシック"/>
        <family val="3"/>
        <charset val="128"/>
      </rPr>
      <t>➡</t>
    </r>
    <r>
      <rPr>
        <sz val="12"/>
        <rFont val="Arial"/>
        <family val="2"/>
      </rPr>
      <t xml:space="preserve"> put N/A</t>
    </r>
    <phoneticPr fontId="8"/>
  </si>
  <si>
    <t xml:space="preserve">(even have validity on the cert, </t>
    <phoneticPr fontId="8"/>
  </si>
  <si>
    <t>the cert is good thru life time)</t>
    <phoneticPr fontId="8"/>
  </si>
  <si>
    <t>(record it if other crew have it)</t>
    <phoneticPr fontId="8"/>
  </si>
  <si>
    <t>(record if other crew have it)</t>
    <phoneticPr fontId="8"/>
  </si>
  <si>
    <t>applicable for crew who has watch keeping</t>
    <phoneticPr fontId="8"/>
  </si>
  <si>
    <t xml:space="preserve">(this is only applicable for crew </t>
    <phoneticPr fontId="8"/>
  </si>
  <si>
    <t>who has watch keeping)</t>
    <phoneticPr fontId="8"/>
  </si>
  <si>
    <t xml:space="preserve">         NSU Seamen team, if find out Yellow &amp; Red high-lighted license or certificates.</t>
  </si>
  <si>
    <t>Input Yes, if crew has endorsement of watch keeping of home country.</t>
  </si>
  <si>
    <t>Guideline for "Crew Roll for Certificate"</t>
  </si>
  <si>
    <t>2-7. STCW training certificate, A-VI/1 Basic Training.</t>
  </si>
  <si>
    <t xml:space="preserve">Master, Officer, Engineer, and AB </t>
  </si>
  <si>
    <t>Master, Officer, and Engineer</t>
  </si>
  <si>
    <t>Input certificate No. of Medicare or First aid.                                             If both certificates are available, input Medicare certificate No. only.</t>
  </si>
  <si>
    <t>&lt;Officers who has SSO holder.&gt;</t>
  </si>
  <si>
    <t xml:space="preserve"> 2/E</t>
  </si>
  <si>
    <t xml:space="preserve"> 4/E</t>
  </si>
  <si>
    <t>NSU TRUST</t>
  </si>
  <si>
    <t>LIBERIA</t>
  </si>
  <si>
    <t>C/CK</t>
  </si>
  <si>
    <t>NGUYEN</t>
  </si>
  <si>
    <t>VIETNAMESE</t>
  </si>
  <si>
    <t>UNLIMITED</t>
  </si>
  <si>
    <t>YES</t>
  </si>
  <si>
    <t>SSO</t>
  </si>
  <si>
    <t>SDSD</t>
  </si>
  <si>
    <t>3/O</t>
  </si>
  <si>
    <t xml:space="preserve">NGUYEN </t>
  </si>
  <si>
    <t xml:space="preserve">LE </t>
  </si>
  <si>
    <t xml:space="preserve">VU </t>
  </si>
  <si>
    <t>TO</t>
  </si>
  <si>
    <t xml:space="preserve">HAI TRUONG </t>
  </si>
  <si>
    <t>C9330514</t>
  </si>
  <si>
    <t>A8545.DO1</t>
  </si>
  <si>
    <t>VN019157-01</t>
  </si>
  <si>
    <t>A12689/HP.G</t>
  </si>
  <si>
    <t>2501.SO/BNHP</t>
  </si>
  <si>
    <t>A1277.ED/BNHP</t>
  </si>
  <si>
    <t>D010714/BST-VMUC</t>
  </si>
  <si>
    <t>2839.BM/BNHP</t>
  </si>
  <si>
    <t xml:space="preserve">DOAN </t>
  </si>
  <si>
    <t xml:space="preserve">VAN CUONG </t>
  </si>
  <si>
    <t>P00369304</t>
  </si>
  <si>
    <t>A3367.SE1</t>
  </si>
  <si>
    <t>HPG-36439-01</t>
  </si>
  <si>
    <t>C1593.SD/BNHP</t>
  </si>
  <si>
    <t>R240608/BST-VMUC</t>
  </si>
  <si>
    <t>R240001/PSR-VMUC</t>
  </si>
  <si>
    <t>R240292/AFF-VMUC</t>
  </si>
  <si>
    <t>R240088/ERM-VMUC</t>
  </si>
  <si>
    <t xml:space="preserve">THE DAT </t>
  </si>
  <si>
    <t>C2973980</t>
  </si>
  <si>
    <t>A4152.SE1-01</t>
  </si>
  <si>
    <t>VN009721-01</t>
  </si>
  <si>
    <t>B9824.SD/BNHP</t>
  </si>
  <si>
    <t>D010746/BST-VMUC</t>
  </si>
  <si>
    <t>B3837.PS/BNHP</t>
  </si>
  <si>
    <t>A7646.AF/BNHP</t>
  </si>
  <si>
    <t>5013.EM/BNHP</t>
  </si>
  <si>
    <t>A7520.MF/BNHP</t>
  </si>
  <si>
    <t xml:space="preserve">CAO </t>
  </si>
  <si>
    <t xml:space="preserve">DANG TUYEN </t>
  </si>
  <si>
    <t>E00298750</t>
  </si>
  <si>
    <t>VN011737-01</t>
  </si>
  <si>
    <t>C5004.SD/BNHP</t>
  </si>
  <si>
    <t>B1120.BST/BNHP</t>
  </si>
  <si>
    <t>A7957.PS/BNHP</t>
  </si>
  <si>
    <t>A4548.AF/BNHP</t>
  </si>
  <si>
    <t>A4456.MF/BNHP</t>
  </si>
  <si>
    <t xml:space="preserve">D/CDT </t>
  </si>
  <si>
    <t xml:space="preserve">THUY  ANH </t>
  </si>
  <si>
    <t>P03526693</t>
  </si>
  <si>
    <t>VN045145-02</t>
  </si>
  <si>
    <t>N003303/BST-VMUC</t>
  </si>
  <si>
    <t xml:space="preserve">CONG HUNG </t>
  </si>
  <si>
    <t>P03572645</t>
  </si>
  <si>
    <t>VN041785-01</t>
  </si>
  <si>
    <t>D1093.SD/BNHP</t>
  </si>
  <si>
    <t>R240012/PSR-VMUC</t>
  </si>
  <si>
    <t>R240299/AFF-VMUC</t>
  </si>
  <si>
    <t>MYCERTM00120Z96ZRR3CQ9</t>
  </si>
  <si>
    <t>N002968/BST-VMUC</t>
  </si>
  <si>
    <t>THANH VIET</t>
  </si>
  <si>
    <t>G2444.MT1-02</t>
  </si>
  <si>
    <t>HPG-09463</t>
  </si>
  <si>
    <t>A15001/HP.G-02</t>
  </si>
  <si>
    <t>2832.SO/BNHP</t>
  </si>
  <si>
    <t>VAN LINH</t>
  </si>
  <si>
    <t>C4154378</t>
  </si>
  <si>
    <t>HPG-09475</t>
  </si>
  <si>
    <t>C722.SD/BNHP</t>
  </si>
  <si>
    <t>QUANG THUY</t>
  </si>
  <si>
    <t>C5871271</t>
  </si>
  <si>
    <t>HPG-18832</t>
  </si>
  <si>
    <t>D028705/SSD-VMUC</t>
  </si>
  <si>
    <t>VAN BINH</t>
  </si>
  <si>
    <t>C9632893</t>
  </si>
  <si>
    <t>VN018419-01</t>
  </si>
  <si>
    <t>HOANG</t>
  </si>
  <si>
    <t>TRONG HAN</t>
  </si>
  <si>
    <t>C9946036</t>
  </si>
  <si>
    <t>HPG-16253</t>
  </si>
  <si>
    <t>C1371.SD/BNHP</t>
  </si>
  <si>
    <t>PHAN</t>
  </si>
  <si>
    <t>VAN DUC</t>
  </si>
  <si>
    <t>P02657056</t>
  </si>
  <si>
    <t>VN011954-01</t>
  </si>
  <si>
    <t>C5770.SD/BNHP</t>
  </si>
  <si>
    <t>BUI</t>
  </si>
  <si>
    <t>TUAN ANH</t>
  </si>
  <si>
    <t>C9332722</t>
  </si>
  <si>
    <t>VN020324-01</t>
  </si>
  <si>
    <t>R240134/SSD.VMUC</t>
  </si>
  <si>
    <t>DUY HIEU</t>
  </si>
  <si>
    <t>C2250064</t>
  </si>
  <si>
    <t>VN003915-01</t>
  </si>
  <si>
    <t>MYCERTM00120YMUOEV6974</t>
  </si>
  <si>
    <t>B2052.BT/BNHP</t>
  </si>
  <si>
    <t>A9319.PS/BNHP</t>
  </si>
  <si>
    <t>D010459/BST-VMUC</t>
  </si>
  <si>
    <t>B695.PS/BNHP</t>
  </si>
  <si>
    <t>B1561.BST/BNHP</t>
  </si>
  <si>
    <t>A8762.BST/BNHP</t>
  </si>
  <si>
    <t>B7737.PS/BNHP</t>
  </si>
  <si>
    <t>B1566.BST/BNHP</t>
  </si>
  <si>
    <t>C2880.PS.BNHP</t>
  </si>
  <si>
    <t>R240607/BST-VMUC</t>
  </si>
  <si>
    <t>R240003/PSR-VMUC</t>
  </si>
  <si>
    <t>A3932.ED/BNHP</t>
  </si>
  <si>
    <t>B11251.BT/BNHP</t>
  </si>
  <si>
    <t>C5416.PS/BNHP</t>
  </si>
  <si>
    <t>B5009.AF/BNHP</t>
  </si>
  <si>
    <t>5828.BM/BNHP</t>
  </si>
  <si>
    <t>B4682.MF/BNHP</t>
  </si>
  <si>
    <t>A8091.PS/BNHP</t>
  </si>
  <si>
    <t>D4393.SD/BNHP</t>
  </si>
  <si>
    <t>D4396.SD/BNHP</t>
  </si>
  <si>
    <t>C5286.PS/BNHP</t>
  </si>
  <si>
    <t>B7911.BST/BNHP</t>
  </si>
  <si>
    <t>E/CDT</t>
  </si>
  <si>
    <t xml:space="preserve">TRAN </t>
  </si>
  <si>
    <t>VIET TOAN</t>
  </si>
  <si>
    <t>K0218815</t>
  </si>
  <si>
    <t xml:space="preserve">DO </t>
  </si>
  <si>
    <t>ANH MINH</t>
  </si>
  <si>
    <t>P01107893</t>
  </si>
  <si>
    <t>C6770849</t>
  </si>
  <si>
    <t>QUANG HA</t>
  </si>
  <si>
    <t>P03612328</t>
  </si>
  <si>
    <t>TRUNG HIEU</t>
  </si>
  <si>
    <t>E02913777</t>
  </si>
  <si>
    <t>VAN HOAN</t>
  </si>
  <si>
    <t>C9971021</t>
  </si>
  <si>
    <t>A9514.DO1-01</t>
  </si>
  <si>
    <t>A15731/HP.G-01</t>
  </si>
  <si>
    <t>N014378/SSO-VMUC</t>
  </si>
  <si>
    <t>A2815.ED/BNHP</t>
  </si>
  <si>
    <t>N/A</t>
  </si>
  <si>
    <t>4520.BM/BNHP</t>
  </si>
  <si>
    <t>N014423/AFF-VMUC</t>
  </si>
  <si>
    <t>N014440/MFC-VMUC</t>
  </si>
  <si>
    <t>N014410/SCR-VMUC</t>
  </si>
  <si>
    <t>R250387/BST-VMUC</t>
  </si>
  <si>
    <t>A9074.EO1-01</t>
  </si>
  <si>
    <t>C4700.SD/BNHP</t>
  </si>
  <si>
    <t>N002670/BST-VMUC</t>
  </si>
  <si>
    <t>C4130.PS/BNHP</t>
  </si>
  <si>
    <t>B4192.AF/BNHP</t>
  </si>
  <si>
    <t>B3974.MF/BNHP</t>
  </si>
  <si>
    <t>6759.EM/BNHP</t>
  </si>
  <si>
    <t>D3812.SD/BNHP</t>
  </si>
  <si>
    <t>B7436.BST/BNHP</t>
  </si>
  <si>
    <t>C4699.PS/BNHP</t>
  </si>
  <si>
    <t>B4268.MF/BNHP</t>
  </si>
  <si>
    <t>5986/SSD-CD1</t>
  </si>
  <si>
    <t>351/BTC-CD.1</t>
  </si>
  <si>
    <t>C4878.PS/BNHP</t>
  </si>
  <si>
    <t>B6704.SD/BNHP</t>
  </si>
  <si>
    <t>A4450.BST/BNHP</t>
  </si>
  <si>
    <t>B4437.PS/BNHP</t>
  </si>
  <si>
    <t>C9802.SD/BNHP</t>
  </si>
  <si>
    <t>R250367/BST-VMUC</t>
  </si>
  <si>
    <t>B7196.PS/BNHP</t>
  </si>
  <si>
    <t>VN026642-01</t>
  </si>
  <si>
    <t>VN031498-02</t>
  </si>
  <si>
    <t>HPG-18258</t>
  </si>
  <si>
    <t>VN047121-01</t>
  </si>
  <si>
    <t>VN034900-01</t>
  </si>
  <si>
    <t>VN003940-01</t>
  </si>
  <si>
    <t>C9505805</t>
  </si>
  <si>
    <t>R240013/MDC-VMUC</t>
  </si>
  <si>
    <t>R240001/MDC-VMUC</t>
  </si>
  <si>
    <t>B4572.AF/BNHP</t>
  </si>
  <si>
    <t>THANH TRUNG</t>
  </si>
  <si>
    <t>C9515494</t>
  </si>
  <si>
    <t>VAN MONG</t>
  </si>
  <si>
    <t>K0309244</t>
  </si>
  <si>
    <t>HPG-08485</t>
  </si>
  <si>
    <t>VN033054-01</t>
  </si>
  <si>
    <t>G0261.CE1-03</t>
  </si>
  <si>
    <t>C1598.SD/BNHP</t>
  </si>
  <si>
    <t>R250212/BST-VMUC</t>
  </si>
  <si>
    <t>R240022/SCR-VMUC</t>
  </si>
  <si>
    <t>R240023/AFF-VMUC</t>
  </si>
  <si>
    <t>R250036/ERM-VMUC</t>
  </si>
  <si>
    <t>R240022/MFC-VMUC</t>
  </si>
  <si>
    <t>2616/SSD-DH</t>
  </si>
  <si>
    <t>2533/BST-DH</t>
  </si>
  <si>
    <t>B3524.PS/BNHP</t>
  </si>
  <si>
    <t>HUY TUNG</t>
  </si>
  <si>
    <t>C5773536</t>
  </si>
  <si>
    <t>HPG-20806</t>
  </si>
  <si>
    <t>TUAN DAT</t>
  </si>
  <si>
    <t>TRONG DUC</t>
  </si>
  <si>
    <t>E03867126</t>
  </si>
  <si>
    <t>E04171136</t>
  </si>
  <si>
    <t>VN046244-02</t>
  </si>
  <si>
    <t>VN046249-02</t>
  </si>
  <si>
    <t>G2008.CO1-02</t>
  </si>
  <si>
    <t>A17475/HP.G-02</t>
  </si>
  <si>
    <t>2608.SO/BNHP</t>
  </si>
  <si>
    <t>R250062/ECD-VMUC</t>
  </si>
  <si>
    <t>B11493.BT/BNHP</t>
  </si>
  <si>
    <t>R250091/SCR-VMUC</t>
  </si>
  <si>
    <t>R250073/MFC-VMUC</t>
  </si>
  <si>
    <t>R250139/AFF-VMUC</t>
  </si>
  <si>
    <t>R250058/BRM-VMUC</t>
  </si>
  <si>
    <t>TSTSH-A21686</t>
  </si>
  <si>
    <t>D4076.SD/BNHP</t>
  </si>
  <si>
    <t>N003554/BST-VMUC</t>
  </si>
  <si>
    <t>D4075.SD/BNHP</t>
  </si>
  <si>
    <t>N003564/BST-VMUC</t>
  </si>
  <si>
    <t>Prepared by Master</t>
  </si>
  <si>
    <t>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</si>
</sst>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yyyy/m/d;@"/>
    <numFmt numFmtId="166" formatCode="[$-F800]dddd\,\ mmmm\ dd\,\ yyyy"/>
    <numFmt numFmtId="167" formatCode="yyyy/mm/dd;@"/>
    <numFmt numFmtId="168" formatCode="yyyy\/mm\/dd"/>
  </numFmts>
  <fonts count="23">
    <font>
      <sz val="12"/>
      <name val="Osaka"/>
      <family val="3"/>
      <charset val="128"/>
    </font>
    <font>
      <sz val="12"/>
      <name val="Osaka"/>
      <family val="3"/>
      <charset val="128"/>
    </font>
    <font>
      <sz val="12"/>
      <name val="ＭＳ Ｐゴシック"/>
      <family val="3"/>
      <charset val="128"/>
    </font>
    <font>
      <sz val="14"/>
      <name val="ＭＳ Ｐゴシック"/>
      <family val="3"/>
      <charset val="128"/>
    </font>
    <font>
      <sz val="18"/>
      <name val="ＭＳ Ｐゴシック"/>
      <family val="3"/>
      <charset val="128"/>
    </font>
    <font>
      <sz val="11"/>
      <name val="ＭＳ Ｐゴシック"/>
      <family val="3"/>
      <charset val="128"/>
    </font>
    <font>
      <sz val="10"/>
      <name val="Arial"/>
      <family val="2"/>
    </font>
    <font>
      <sz val="20"/>
      <name val="ＭＳ Ｐゴシック"/>
      <family val="3"/>
      <charset val="128"/>
    </font>
    <font>
      <sz val="6"/>
      <name val="Osaka"/>
      <family val="3"/>
      <charset val="128"/>
    </font>
    <font>
      <sz val="9"/>
      <color indexed="81"/>
      <name val="ＭＳ Ｐゴシック"/>
      <family val="3"/>
      <charset val="128"/>
    </font>
    <font>
      <b/>
      <sz val="9"/>
      <color indexed="81"/>
      <name val="ＭＳ Ｐゴシック"/>
      <family val="3"/>
      <charset val="128"/>
    </font>
    <font>
      <b/>
      <sz val="16"/>
      <name val="ＭＳ Ｐゴシック"/>
      <family val="3"/>
      <charset val="128"/>
    </font>
    <font>
      <sz val="16"/>
      <name val="Arial"/>
      <family val="2"/>
    </font>
    <font>
      <b/>
      <sz val="16"/>
      <name val="Arial"/>
      <family val="2"/>
    </font>
    <font>
      <sz val="18"/>
      <name val="Arial"/>
      <family val="2"/>
    </font>
    <font>
      <sz val="12"/>
      <name val="Arial"/>
      <family val="2"/>
    </font>
    <font>
      <b/>
      <sz val="10"/>
      <name val="Arial"/>
      <family val="2"/>
    </font>
    <font>
      <b/>
      <sz val="12"/>
      <name val="Arial"/>
      <family val="2"/>
    </font>
    <font>
      <sz val="10"/>
      <name val="ＭＳ Ｐゴシック"/>
      <family val="3"/>
      <charset val="128"/>
    </font>
    <font>
      <i/>
      <sz val="16"/>
      <name val="Times New Roman"/>
      <family val="1"/>
    </font>
    <font>
      <sz val="14"/>
      <name val="Arial"/>
      <family val="2"/>
    </font>
    <font>
      <sz val="10"/>
      <color rgb="FFFF0000"/>
      <name val="Arial"/>
      <family val="2"/>
    </font>
    <font>
      <sz val="10"/>
      <color theme="1"/>
      <name val="Arial"/>
      <family val="2"/>
    </font>
  </fonts>
  <fills count="6">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2">
    <xf numFmtId="0" fontId="0" fillId="0" borderId="0"/>
    <xf numFmtId="0" fontId="1" fillId="0" borderId="0"/>
  </cellStyleXfs>
  <cellXfs count="250">
    <xf numFmtId="0" fontId="0" fillId="0" borderId="0" xfId="0"/>
    <xf numFmtId="0" fontId="4" fillId="0" borderId="0" xfId="0" applyFont="1"/>
    <xf numFmtId="0" fontId="3" fillId="0" borderId="1" xfId="0" applyFont="1" applyBorder="1"/>
    <xf numFmtId="0" fontId="2" fillId="0" borderId="0" xfId="0" applyFont="1"/>
    <xf numFmtId="0" fontId="2" fillId="0" borderId="0" xfId="0" applyFont="1" applyAlignment="1">
      <alignment horizontal="left"/>
    </xf>
    <xf numFmtId="0" fontId="3" fillId="0" borderId="0" xfId="0" applyFont="1"/>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3" xfId="0" applyFont="1" applyBorder="1"/>
    <xf numFmtId="0" fontId="4" fillId="0" borderId="0" xfId="0" applyFont="1" applyAlignment="1">
      <alignment horizontal="center"/>
    </xf>
    <xf numFmtId="0" fontId="3" fillId="0" borderId="0" xfId="0" applyFont="1" applyAlignment="1">
      <alignment horizontal="center"/>
    </xf>
    <xf numFmtId="0" fontId="2" fillId="0" borderId="4" xfId="0" applyFont="1" applyBorder="1"/>
    <xf numFmtId="0" fontId="3" fillId="0" borderId="3" xfId="0" applyFont="1" applyBorder="1" applyAlignment="1">
      <alignment horizontal="left"/>
    </xf>
    <xf numFmtId="0" fontId="5" fillId="0" borderId="0" xfId="0" applyFont="1"/>
    <xf numFmtId="0" fontId="2" fillId="0" borderId="5" xfId="0" applyFont="1" applyBorder="1"/>
    <xf numFmtId="0" fontId="5" fillId="0" borderId="6" xfId="0" applyFont="1" applyBorder="1"/>
    <xf numFmtId="0" fontId="5" fillId="0" borderId="7" xfId="0" applyFont="1" applyBorder="1"/>
    <xf numFmtId="0" fontId="2" fillId="0" borderId="8" xfId="0" applyFont="1" applyBorder="1"/>
    <xf numFmtId="0" fontId="5" fillId="0" borderId="4" xfId="0" applyFont="1" applyBorder="1"/>
    <xf numFmtId="0" fontId="5" fillId="0" borderId="9" xfId="0" applyFont="1" applyBorder="1"/>
    <xf numFmtId="0" fontId="5" fillId="0" borderId="10" xfId="0" applyFont="1" applyBorder="1"/>
    <xf numFmtId="0" fontId="7" fillId="0" borderId="0" xfId="0" applyFont="1" applyAlignment="1">
      <alignment horizontal="left"/>
    </xf>
    <xf numFmtId="0" fontId="2" fillId="0" borderId="6" xfId="0" applyFont="1" applyBorder="1"/>
    <xf numFmtId="164" fontId="3" fillId="0" borderId="0" xfId="0" applyNumberFormat="1" applyFont="1" applyAlignment="1">
      <alignment horizontal="left"/>
    </xf>
    <xf numFmtId="0" fontId="5" fillId="0" borderId="0" xfId="0" applyFont="1" applyAlignment="1">
      <alignment horizontal="right"/>
    </xf>
    <xf numFmtId="0" fontId="2" fillId="0" borderId="0" xfId="0" applyFont="1" applyAlignment="1">
      <alignment horizontal="right"/>
    </xf>
    <xf numFmtId="0" fontId="2" fillId="0" borderId="0" xfId="0" applyFont="1" applyAlignment="1">
      <alignment horizontal="center"/>
    </xf>
    <xf numFmtId="0" fontId="5" fillId="0" borderId="0" xfId="0" applyFont="1" applyAlignment="1">
      <alignment horizontal="center"/>
    </xf>
    <xf numFmtId="0" fontId="2" fillId="0" borderId="6" xfId="0" applyFont="1" applyBorder="1" applyAlignment="1">
      <alignment horizontal="center"/>
    </xf>
    <xf numFmtId="0" fontId="2" fillId="0" borderId="4" xfId="0" applyFont="1" applyBorder="1" applyAlignment="1">
      <alignment horizontal="center"/>
    </xf>
    <xf numFmtId="0" fontId="5" fillId="0" borderId="6" xfId="0" applyFont="1" applyBorder="1" applyAlignment="1">
      <alignment horizontal="center"/>
    </xf>
    <xf numFmtId="0" fontId="5" fillId="0" borderId="4" xfId="0" applyFont="1" applyBorder="1" applyAlignment="1">
      <alignment horizontal="center"/>
    </xf>
    <xf numFmtId="164" fontId="3" fillId="0" borderId="0" xfId="0" applyNumberFormat="1" applyFont="1" applyAlignment="1">
      <alignment horizontal="center"/>
    </xf>
    <xf numFmtId="0" fontId="7" fillId="0" borderId="0" xfId="0" applyFont="1" applyAlignment="1">
      <alignment horizontal="center"/>
    </xf>
    <xf numFmtId="0" fontId="7" fillId="0" borderId="0" xfId="0" applyFont="1" applyAlignment="1">
      <alignment horizontal="distributed" indent="1"/>
    </xf>
    <xf numFmtId="0" fontId="5" fillId="0" borderId="7" xfId="0" applyFont="1" applyBorder="1" applyAlignment="1">
      <alignment horizontal="left"/>
    </xf>
    <xf numFmtId="0" fontId="5" fillId="0" borderId="9" xfId="0" applyFont="1" applyBorder="1" applyAlignment="1">
      <alignment horizontal="left"/>
    </xf>
    <xf numFmtId="0" fontId="3" fillId="0" borderId="0" xfId="0" applyFont="1" applyAlignment="1">
      <alignment horizontal="left"/>
    </xf>
    <xf numFmtId="164" fontId="3" fillId="0" borderId="10" xfId="0" applyNumberFormat="1" applyFont="1" applyBorder="1" applyAlignment="1" applyProtection="1">
      <alignment horizontal="center"/>
      <protection locked="0"/>
    </xf>
    <xf numFmtId="0" fontId="2" fillId="0" borderId="8" xfId="0" applyFont="1" applyBorder="1" applyAlignment="1">
      <alignment shrinkToFit="1"/>
    </xf>
    <xf numFmtId="165" fontId="3" fillId="0" borderId="1" xfId="0" applyNumberFormat="1" applyFont="1" applyBorder="1" applyAlignment="1" applyProtection="1">
      <alignment horizontal="center"/>
      <protection locked="0"/>
    </xf>
    <xf numFmtId="165" fontId="3" fillId="0" borderId="0" xfId="0" applyNumberFormat="1" applyFont="1" applyAlignment="1" applyProtection="1">
      <alignment horizontal="center"/>
      <protection locked="0"/>
    </xf>
    <xf numFmtId="0" fontId="3" fillId="0" borderId="2" xfId="0" applyFont="1" applyBorder="1" applyAlignment="1">
      <alignment horizontal="left"/>
    </xf>
    <xf numFmtId="14" fontId="3" fillId="0" borderId="1" xfId="0" applyNumberFormat="1" applyFont="1" applyBorder="1" applyAlignment="1">
      <alignment horizontal="center"/>
    </xf>
    <xf numFmtId="0" fontId="2" fillId="0" borderId="5" xfId="0" applyFont="1" applyBorder="1" applyAlignment="1">
      <alignment horizontal="left" shrinkToFit="1"/>
    </xf>
    <xf numFmtId="0" fontId="3" fillId="0" borderId="0" xfId="1" applyFont="1" applyAlignment="1" applyProtection="1">
      <alignment horizontal="center"/>
      <protection locked="0"/>
    </xf>
    <xf numFmtId="0" fontId="3" fillId="0" borderId="0" xfId="1" applyFont="1" applyAlignment="1" applyProtection="1">
      <alignment horizontal="left"/>
      <protection locked="0"/>
    </xf>
    <xf numFmtId="14" fontId="3" fillId="0" borderId="0" xfId="1" applyNumberFormat="1" applyFont="1" applyAlignment="1" applyProtection="1">
      <alignment horizontal="left"/>
      <protection locked="0"/>
    </xf>
    <xf numFmtId="0" fontId="3" fillId="0" borderId="0" xfId="0" applyFont="1" applyProtection="1">
      <protection locked="0"/>
    </xf>
    <xf numFmtId="166" fontId="3" fillId="0" borderId="1" xfId="0" applyNumberFormat="1" applyFont="1" applyBorder="1" applyAlignment="1">
      <alignment horizontal="left"/>
    </xf>
    <xf numFmtId="14" fontId="3" fillId="0" borderId="1" xfId="0" applyNumberFormat="1" applyFont="1" applyBorder="1" applyAlignment="1">
      <alignment horizontal="left"/>
    </xf>
    <xf numFmtId="0" fontId="3" fillId="0" borderId="1" xfId="0" applyFont="1" applyBorder="1" applyAlignment="1" applyProtection="1">
      <alignment horizontal="center"/>
      <protection locked="0"/>
    </xf>
    <xf numFmtId="0" fontId="3" fillId="0" borderId="3" xfId="0" applyFont="1" applyBorder="1" applyAlignment="1" applyProtection="1">
      <alignment horizontal="center"/>
      <protection locked="0"/>
    </xf>
    <xf numFmtId="14" fontId="3" fillId="0" borderId="3" xfId="0" applyNumberFormat="1" applyFont="1" applyBorder="1" applyAlignment="1" applyProtection="1">
      <alignment horizontal="center"/>
      <protection locked="0"/>
    </xf>
    <xf numFmtId="0" fontId="6" fillId="0" borderId="0" xfId="0" applyFont="1"/>
    <xf numFmtId="0" fontId="6" fillId="0" borderId="1" xfId="0" applyFont="1" applyBorder="1"/>
    <xf numFmtId="0" fontId="6" fillId="0" borderId="11" xfId="0" applyFont="1" applyBorder="1"/>
    <xf numFmtId="0" fontId="6" fillId="0" borderId="6" xfId="0" applyFont="1" applyBorder="1"/>
    <xf numFmtId="164" fontId="6" fillId="0" borderId="1" xfId="0" applyNumberFormat="1" applyFont="1" applyBorder="1" applyAlignment="1">
      <alignment horizontal="center"/>
    </xf>
    <xf numFmtId="0" fontId="6" fillId="0" borderId="12" xfId="0" applyFont="1" applyBorder="1"/>
    <xf numFmtId="164" fontId="6" fillId="0" borderId="12" xfId="0" applyNumberFormat="1" applyFont="1" applyBorder="1" applyAlignment="1">
      <alignment horizontal="center"/>
    </xf>
    <xf numFmtId="0" fontId="6" fillId="0" borderId="11" xfId="0" applyFont="1" applyBorder="1" applyAlignment="1">
      <alignment horizontal="center" shrinkToFit="1"/>
    </xf>
    <xf numFmtId="0" fontId="6" fillId="0" borderId="12" xfId="0" applyFont="1" applyBorder="1" applyAlignment="1">
      <alignment shrinkToFit="1"/>
    </xf>
    <xf numFmtId="0" fontId="6" fillId="0" borderId="10" xfId="0" applyFont="1" applyBorder="1" applyAlignment="1">
      <alignment horizontal="center" shrinkToFit="1"/>
    </xf>
    <xf numFmtId="0" fontId="6" fillId="0" borderId="13" xfId="0" applyFont="1" applyBorder="1" applyAlignment="1">
      <alignment horizontal="center" shrinkToFit="1"/>
    </xf>
    <xf numFmtId="0" fontId="6" fillId="0" borderId="9" xfId="0" applyFont="1" applyBorder="1" applyAlignment="1">
      <alignment horizontal="center" shrinkToFit="1"/>
    </xf>
    <xf numFmtId="0" fontId="6" fillId="0" borderId="14" xfId="0" applyFont="1" applyBorder="1"/>
    <xf numFmtId="0" fontId="6" fillId="0" borderId="14" xfId="0" applyFont="1" applyBorder="1" applyAlignment="1">
      <alignment horizontal="center" shrinkToFit="1"/>
    </xf>
    <xf numFmtId="0" fontId="6" fillId="0" borderId="1" xfId="0" applyFont="1" applyBorder="1" applyAlignment="1">
      <alignment horizontal="center"/>
    </xf>
    <xf numFmtId="0" fontId="6" fillId="0" borderId="1" xfId="0" applyFont="1" applyBorder="1" applyAlignment="1">
      <alignment shrinkToFit="1"/>
    </xf>
    <xf numFmtId="164" fontId="13" fillId="0" borderId="0" xfId="0" applyNumberFormat="1" applyFont="1" applyAlignment="1">
      <alignment horizontal="left"/>
    </xf>
    <xf numFmtId="0" fontId="15" fillId="0" borderId="0" xfId="0" applyFont="1" applyAlignment="1">
      <alignment horizontal="center" vertical="center"/>
    </xf>
    <xf numFmtId="0" fontId="15" fillId="0" borderId="12" xfId="0" applyFont="1" applyBorder="1" applyAlignment="1">
      <alignment horizontal="center"/>
    </xf>
    <xf numFmtId="0" fontId="14" fillId="0" borderId="0" xfId="0" applyFont="1" applyAlignment="1">
      <alignment horizontal="center" vertical="center"/>
    </xf>
    <xf numFmtId="164" fontId="13" fillId="0" borderId="0" xfId="0" applyNumberFormat="1" applyFont="1" applyAlignment="1">
      <alignment horizontal="center"/>
    </xf>
    <xf numFmtId="0" fontId="12" fillId="0" borderId="0" xfId="0" applyFont="1" applyAlignment="1">
      <alignment horizontal="center"/>
    </xf>
    <xf numFmtId="0" fontId="6" fillId="0" borderId="0" xfId="0" applyFont="1" applyAlignment="1">
      <alignment horizontal="right"/>
    </xf>
    <xf numFmtId="0" fontId="6" fillId="0" borderId="4" xfId="0" applyFont="1" applyBorder="1" applyAlignment="1">
      <alignment horizontal="center" shrinkToFit="1"/>
    </xf>
    <xf numFmtId="0" fontId="6" fillId="0" borderId="8" xfId="0" applyFont="1" applyBorder="1" applyAlignment="1">
      <alignment horizontal="center" shrinkToFit="1"/>
    </xf>
    <xf numFmtId="0" fontId="6" fillId="0" borderId="0" xfId="0" applyFont="1" applyAlignment="1">
      <alignment horizontal="center" shrinkToFit="1"/>
    </xf>
    <xf numFmtId="0" fontId="6" fillId="0" borderId="10" xfId="0" applyFont="1" applyBorder="1"/>
    <xf numFmtId="0" fontId="6" fillId="0" borderId="13" xfId="0" applyFont="1" applyBorder="1"/>
    <xf numFmtId="0" fontId="6" fillId="0" borderId="12" xfId="0" applyFont="1" applyBorder="1" applyAlignment="1">
      <alignment horizontal="center" shrinkToFit="1"/>
    </xf>
    <xf numFmtId="0" fontId="6" fillId="0" borderId="13" xfId="0" applyFont="1" applyBorder="1" applyAlignment="1">
      <alignment shrinkToFit="1"/>
    </xf>
    <xf numFmtId="0" fontId="6" fillId="0" borderId="12" xfId="0" applyFont="1" applyBorder="1" applyAlignment="1">
      <alignment horizontal="center" vertical="top"/>
    </xf>
    <xf numFmtId="0" fontId="6" fillId="0" borderId="10" xfId="0" applyFont="1" applyBorder="1" applyAlignment="1">
      <alignment horizontal="center" vertical="top"/>
    </xf>
    <xf numFmtId="164" fontId="6" fillId="3" borderId="1" xfId="0" applyNumberFormat="1" applyFont="1" applyFill="1" applyBorder="1" applyAlignment="1">
      <alignment horizontal="center"/>
    </xf>
    <xf numFmtId="164" fontId="13" fillId="0" borderId="0" xfId="0" applyNumberFormat="1" applyFont="1"/>
    <xf numFmtId="0" fontId="14" fillId="0" borderId="0" xfId="0" applyFont="1" applyAlignment="1">
      <alignment vertical="center"/>
    </xf>
    <xf numFmtId="0" fontId="14" fillId="0" borderId="0" xfId="0" applyFont="1" applyAlignment="1">
      <alignment horizontal="left" vertical="center"/>
    </xf>
    <xf numFmtId="0" fontId="15" fillId="0" borderId="0" xfId="0" applyFont="1" applyAlignment="1">
      <alignment horizontal="left" vertical="center"/>
    </xf>
    <xf numFmtId="0" fontId="15" fillId="0" borderId="0" xfId="0" applyFont="1"/>
    <xf numFmtId="0" fontId="6" fillId="0" borderId="13" xfId="0" applyFont="1" applyBorder="1" applyAlignment="1">
      <alignment horizontal="center" vertical="top"/>
    </xf>
    <xf numFmtId="49" fontId="16" fillId="0" borderId="1" xfId="0" applyNumberFormat="1" applyFont="1" applyBorder="1" applyAlignment="1">
      <alignment horizontal="center"/>
    </xf>
    <xf numFmtId="49" fontId="16" fillId="0" borderId="0" xfId="0" applyNumberFormat="1" applyFont="1" applyAlignment="1">
      <alignment horizontal="center"/>
    </xf>
    <xf numFmtId="49" fontId="16" fillId="0" borderId="1" xfId="0" applyNumberFormat="1" applyFont="1" applyBorder="1"/>
    <xf numFmtId="49" fontId="16" fillId="0" borderId="0" xfId="0" applyNumberFormat="1" applyFont="1"/>
    <xf numFmtId="49" fontId="13" fillId="0" borderId="0" xfId="0" applyNumberFormat="1" applyFont="1" applyAlignment="1">
      <alignment horizontal="center"/>
    </xf>
    <xf numFmtId="0" fontId="16" fillId="0" borderId="1" xfId="0" applyFont="1" applyBorder="1"/>
    <xf numFmtId="0" fontId="16" fillId="0" borderId="0" xfId="0" applyFont="1"/>
    <xf numFmtId="0" fontId="13" fillId="0" borderId="0" xfId="0" applyFont="1" applyAlignment="1">
      <alignment horizontal="center"/>
    </xf>
    <xf numFmtId="0" fontId="6" fillId="3" borderId="1" xfId="0" applyFont="1" applyFill="1" applyBorder="1"/>
    <xf numFmtId="0" fontId="6" fillId="3" borderId="1" xfId="0" applyFont="1" applyFill="1" applyBorder="1" applyAlignment="1">
      <alignment shrinkToFit="1"/>
    </xf>
    <xf numFmtId="0" fontId="6" fillId="3" borderId="1" xfId="0" applyFont="1" applyFill="1" applyBorder="1" applyAlignment="1">
      <alignment horizontal="center"/>
    </xf>
    <xf numFmtId="0" fontId="13" fillId="0" borderId="0" xfId="0" applyFont="1"/>
    <xf numFmtId="0" fontId="13" fillId="0" borderId="1" xfId="0" applyFont="1" applyBorder="1" applyAlignment="1">
      <alignment horizontal="center"/>
    </xf>
    <xf numFmtId="0" fontId="15" fillId="0" borderId="0" xfId="0" applyFont="1" applyAlignment="1">
      <alignment horizontal="center"/>
    </xf>
    <xf numFmtId="0" fontId="15" fillId="0" borderId="14" xfId="0" applyFont="1" applyBorder="1" applyAlignment="1">
      <alignment horizontal="center"/>
    </xf>
    <xf numFmtId="0" fontId="15" fillId="0" borderId="0" xfId="0" applyFont="1" applyAlignment="1">
      <alignment wrapText="1"/>
    </xf>
    <xf numFmtId="0" fontId="13" fillId="0" borderId="0" xfId="0" applyFont="1" applyAlignment="1">
      <alignment horizontal="center" wrapText="1"/>
    </xf>
    <xf numFmtId="0" fontId="15" fillId="0" borderId="10" xfId="0" applyFont="1" applyBorder="1"/>
    <xf numFmtId="0" fontId="15" fillId="0" borderId="13" xfId="0" applyFont="1" applyBorder="1" applyAlignment="1">
      <alignment wrapText="1"/>
    </xf>
    <xf numFmtId="0" fontId="15" fillId="0" borderId="8" xfId="0" applyFont="1" applyBorder="1"/>
    <xf numFmtId="0" fontId="15" fillId="0" borderId="9" xfId="0" applyFont="1" applyBorder="1" applyAlignment="1">
      <alignment wrapText="1"/>
    </xf>
    <xf numFmtId="0" fontId="15" fillId="0" borderId="14" xfId="0" applyFont="1" applyBorder="1"/>
    <xf numFmtId="0" fontId="19" fillId="0" borderId="0" xfId="0" applyFont="1"/>
    <xf numFmtId="0" fontId="20" fillId="0" borderId="0" xfId="0" applyFont="1" applyAlignment="1">
      <alignment horizontal="center"/>
    </xf>
    <xf numFmtId="0" fontId="15" fillId="0" borderId="4" xfId="0" applyFont="1" applyBorder="1" applyAlignment="1">
      <alignment wrapText="1"/>
    </xf>
    <xf numFmtId="0" fontId="6" fillId="0" borderId="11" xfId="0" applyFont="1" applyBorder="1" applyAlignment="1">
      <alignment horizontal="center" wrapText="1"/>
    </xf>
    <xf numFmtId="0" fontId="6" fillId="0" borderId="14" xfId="0" applyFont="1" applyBorder="1" applyAlignment="1">
      <alignment horizontal="center"/>
    </xf>
    <xf numFmtId="0" fontId="6" fillId="0" borderId="10" xfId="0" applyFont="1" applyBorder="1" applyAlignment="1">
      <alignment horizontal="center" vertical="center" wrapText="1" shrinkToFit="1"/>
    </xf>
    <xf numFmtId="0" fontId="6" fillId="0" borderId="8" xfId="0" applyFont="1" applyBorder="1" applyAlignment="1">
      <alignment horizontal="center" vertical="center" wrapText="1" shrinkToFit="1"/>
    </xf>
    <xf numFmtId="14" fontId="6" fillId="0" borderId="1" xfId="0" applyNumberFormat="1" applyFont="1" applyBorder="1" applyAlignment="1">
      <alignment horizontal="center"/>
    </xf>
    <xf numFmtId="0" fontId="15" fillId="0" borderId="13" xfId="0" applyFont="1" applyBorder="1" applyAlignment="1">
      <alignment horizontal="left" wrapText="1"/>
    </xf>
    <xf numFmtId="49" fontId="17" fillId="0" borderId="1" xfId="0" applyNumberFormat="1" applyFont="1" applyBorder="1" applyAlignment="1">
      <alignment horizontal="center"/>
    </xf>
    <xf numFmtId="0" fontId="6" fillId="0" borderId="5" xfId="0" applyFont="1" applyBorder="1" applyAlignment="1">
      <alignment horizontal="center" shrinkToFit="1"/>
    </xf>
    <xf numFmtId="0" fontId="6" fillId="0" borderId="14" xfId="0" applyFont="1" applyBorder="1" applyAlignment="1">
      <alignment horizontal="center" vertical="center" wrapText="1"/>
    </xf>
    <xf numFmtId="0" fontId="20" fillId="0" borderId="0" xfId="0" applyFont="1" applyAlignment="1">
      <alignment horizontal="right"/>
    </xf>
    <xf numFmtId="0" fontId="0" fillId="0" borderId="14" xfId="0" applyBorder="1" applyAlignment="1">
      <alignment horizontal="center" vertical="center" wrapText="1"/>
    </xf>
    <xf numFmtId="0" fontId="15" fillId="0" borderId="11" xfId="0" applyFont="1" applyBorder="1" applyAlignment="1">
      <alignment horizontal="center"/>
    </xf>
    <xf numFmtId="0" fontId="6" fillId="4" borderId="1" xfId="0" applyFont="1" applyFill="1" applyBorder="1"/>
    <xf numFmtId="0" fontId="6" fillId="4" borderId="1" xfId="0" applyFont="1" applyFill="1" applyBorder="1" applyAlignment="1">
      <alignment horizontal="center"/>
    </xf>
    <xf numFmtId="0" fontId="6" fillId="4" borderId="1" xfId="0" applyFont="1" applyFill="1" applyBorder="1" applyAlignment="1">
      <alignment shrinkToFit="1"/>
    </xf>
    <xf numFmtId="164" fontId="6" fillId="4" borderId="1" xfId="0" applyNumberFormat="1" applyFont="1" applyFill="1" applyBorder="1" applyAlignment="1">
      <alignment horizontal="center"/>
    </xf>
    <xf numFmtId="164" fontId="6" fillId="4" borderId="12" xfId="0" applyNumberFormat="1" applyFont="1" applyFill="1" applyBorder="1" applyAlignment="1">
      <alignment horizontal="center"/>
    </xf>
    <xf numFmtId="167" fontId="6" fillId="4" borderId="1" xfId="0" applyNumberFormat="1" applyFont="1" applyFill="1" applyBorder="1" applyAlignment="1">
      <alignment horizontal="center"/>
    </xf>
    <xf numFmtId="14" fontId="6" fillId="4" borderId="1" xfId="0" applyNumberFormat="1" applyFont="1" applyFill="1" applyBorder="1" applyAlignment="1">
      <alignment horizontal="center"/>
    </xf>
    <xf numFmtId="0" fontId="6" fillId="4" borderId="0" xfId="0" applyFont="1" applyFill="1"/>
    <xf numFmtId="164" fontId="22" fillId="4" borderId="1" xfId="0" applyNumberFormat="1" applyFont="1" applyFill="1" applyBorder="1" applyAlignment="1">
      <alignment horizontal="center"/>
    </xf>
    <xf numFmtId="164" fontId="21" fillId="4" borderId="1" xfId="0" applyNumberFormat="1" applyFont="1" applyFill="1" applyBorder="1" applyAlignment="1">
      <alignment horizontal="center"/>
    </xf>
    <xf numFmtId="164" fontId="6" fillId="4" borderId="2" xfId="0" applyNumberFormat="1" applyFont="1" applyFill="1" applyBorder="1" applyAlignment="1">
      <alignment horizontal="center"/>
    </xf>
    <xf numFmtId="0" fontId="6" fillId="4" borderId="12" xfId="0" applyFont="1" applyFill="1" applyBorder="1" applyAlignment="1">
      <alignment horizontal="center"/>
    </xf>
    <xf numFmtId="14" fontId="22" fillId="4" borderId="1" xfId="0" applyNumberFormat="1" applyFont="1" applyFill="1" applyBorder="1" applyAlignment="1">
      <alignment horizontal="center"/>
    </xf>
    <xf numFmtId="0" fontId="6" fillId="4" borderId="1" xfId="0" applyFont="1" applyFill="1" applyBorder="1" applyAlignment="1">
      <alignment horizontal="center" wrapText="1"/>
    </xf>
    <xf numFmtId="0" fontId="6" fillId="4" borderId="12" xfId="0" applyFont="1" applyFill="1" applyBorder="1" applyAlignment="1">
      <alignment horizontal="left"/>
    </xf>
    <xf numFmtId="0" fontId="0" fillId="4" borderId="0" xfId="0" applyFill="1"/>
    <xf numFmtId="0" fontId="0" fillId="4" borderId="1" xfId="0" applyFill="1" applyBorder="1"/>
    <xf numFmtId="168" fontId="6" fillId="0" borderId="13" xfId="0" applyNumberFormat="1" applyFont="1" applyBorder="1" applyAlignment="1">
      <alignment horizontal="center" shrinkToFit="1"/>
    </xf>
    <xf numFmtId="168" fontId="6" fillId="0" borderId="9" xfId="0" applyNumberFormat="1" applyFont="1" applyBorder="1" applyAlignment="1">
      <alignment horizontal="center" shrinkToFit="1"/>
    </xf>
    <xf numFmtId="168" fontId="6" fillId="4" borderId="1" xfId="0" applyNumberFormat="1" applyFont="1" applyFill="1" applyBorder="1" applyAlignment="1">
      <alignment horizontal="center"/>
    </xf>
    <xf numFmtId="168" fontId="22" fillId="4" borderId="1" xfId="0" applyNumberFormat="1" applyFont="1" applyFill="1" applyBorder="1" applyAlignment="1">
      <alignment horizontal="center"/>
    </xf>
    <xf numFmtId="168" fontId="6" fillId="0" borderId="1" xfId="0" applyNumberFormat="1" applyFont="1" applyBorder="1" applyAlignment="1">
      <alignment horizontal="center"/>
    </xf>
    <xf numFmtId="168" fontId="0" fillId="4" borderId="0" xfId="0" applyNumberFormat="1" applyFill="1"/>
    <xf numFmtId="168" fontId="22" fillId="4" borderId="2" xfId="0" applyNumberFormat="1" applyFont="1" applyFill="1" applyBorder="1" applyAlignment="1">
      <alignment horizontal="center"/>
    </xf>
    <xf numFmtId="168" fontId="6" fillId="0" borderId="5" xfId="0" applyNumberFormat="1" applyFont="1" applyBorder="1" applyAlignment="1">
      <alignment horizontal="center"/>
    </xf>
    <xf numFmtId="168" fontId="6" fillId="0" borderId="11" xfId="0" applyNumberFormat="1" applyFont="1" applyBorder="1" applyAlignment="1">
      <alignment horizontal="center"/>
    </xf>
    <xf numFmtId="168" fontId="6" fillId="0" borderId="10" xfId="0" applyNumberFormat="1" applyFont="1" applyBorder="1" applyAlignment="1">
      <alignment horizontal="center" vertical="top"/>
    </xf>
    <xf numFmtId="168" fontId="6" fillId="0" borderId="14" xfId="0" applyNumberFormat="1" applyFont="1" applyBorder="1" applyAlignment="1">
      <alignment horizontal="center" vertical="top"/>
    </xf>
    <xf numFmtId="168" fontId="6" fillId="0" borderId="10" xfId="0" applyNumberFormat="1" applyFont="1" applyBorder="1" applyAlignment="1">
      <alignment horizontal="center" vertical="center"/>
    </xf>
    <xf numFmtId="168" fontId="6" fillId="0" borderId="14" xfId="0" applyNumberFormat="1" applyFont="1" applyBorder="1" applyAlignment="1">
      <alignment horizontal="center" vertical="center"/>
    </xf>
    <xf numFmtId="168" fontId="6" fillId="0" borderId="8" xfId="0" applyNumberFormat="1" applyFont="1" applyBorder="1" applyAlignment="1">
      <alignment horizontal="center"/>
    </xf>
    <xf numFmtId="168" fontId="6" fillId="0" borderId="12" xfId="0" applyNumberFormat="1" applyFont="1" applyBorder="1" applyAlignment="1">
      <alignment horizontal="center"/>
    </xf>
    <xf numFmtId="168" fontId="6" fillId="0" borderId="8" xfId="0" applyNumberFormat="1" applyFont="1" applyBorder="1" applyAlignment="1">
      <alignment horizontal="center" shrinkToFit="1"/>
    </xf>
    <xf numFmtId="168" fontId="6" fillId="4" borderId="12" xfId="0" applyNumberFormat="1" applyFont="1" applyFill="1" applyBorder="1" applyAlignment="1">
      <alignment horizontal="center"/>
    </xf>
    <xf numFmtId="168" fontId="0" fillId="4" borderId="1" xfId="0" applyNumberFormat="1" applyFill="1" applyBorder="1"/>
    <xf numFmtId="168" fontId="6" fillId="0" borderId="0" xfId="0" applyNumberFormat="1" applyFont="1"/>
    <xf numFmtId="168" fontId="14" fillId="0" borderId="0" xfId="0" applyNumberFormat="1" applyFont="1" applyAlignment="1">
      <alignment horizontal="center" vertical="center"/>
    </xf>
    <xf numFmtId="168" fontId="6" fillId="0" borderId="13" xfId="0" applyNumberFormat="1" applyFont="1" applyBorder="1"/>
    <xf numFmtId="168" fontId="0" fillId="4" borderId="1" xfId="0" applyNumberFormat="1" applyFill="1" applyBorder="1" applyAlignment="1">
      <alignment horizontal="center"/>
    </xf>
    <xf numFmtId="168" fontId="6" fillId="4" borderId="1" xfId="0" applyNumberFormat="1" applyFont="1" applyFill="1" applyBorder="1"/>
    <xf numFmtId="168" fontId="6" fillId="4" borderId="0" xfId="0" applyNumberFormat="1" applyFont="1" applyFill="1"/>
    <xf numFmtId="168" fontId="15" fillId="0" borderId="0" xfId="0" applyNumberFormat="1" applyFont="1" applyAlignment="1">
      <alignment horizontal="center" vertical="center"/>
    </xf>
    <xf numFmtId="168" fontId="6" fillId="4" borderId="2" xfId="0" applyNumberFormat="1" applyFont="1" applyFill="1" applyBorder="1" applyAlignment="1">
      <alignment horizontal="center"/>
    </xf>
    <xf numFmtId="168" fontId="6" fillId="0" borderId="2" xfId="0" applyNumberFormat="1" applyFont="1" applyBorder="1" applyAlignment="1">
      <alignment horizontal="center"/>
    </xf>
    <xf numFmtId="168" fontId="6" fillId="0" borderId="0" xfId="0" applyNumberFormat="1" applyFont="1" applyAlignment="1">
      <alignment horizontal="right"/>
    </xf>
    <xf numFmtId="168" fontId="0" fillId="0" borderId="1" xfId="0" applyNumberFormat="1" applyBorder="1"/>
    <xf numFmtId="168" fontId="6" fillId="0" borderId="10" xfId="0" applyNumberFormat="1" applyFont="1" applyBorder="1" applyAlignment="1">
      <alignment horizontal="center" shrinkToFit="1"/>
    </xf>
    <xf numFmtId="168" fontId="19" fillId="0" borderId="0" xfId="0" applyNumberFormat="1" applyFont="1"/>
    <xf numFmtId="168" fontId="22" fillId="0" borderId="2" xfId="0" applyNumberFormat="1" applyFont="1" applyBorder="1" applyAlignment="1">
      <alignment horizontal="center"/>
    </xf>
    <xf numFmtId="168" fontId="22" fillId="0" borderId="1" xfId="0" applyNumberFormat="1" applyFont="1" applyBorder="1" applyAlignment="1">
      <alignment horizontal="center"/>
    </xf>
    <xf numFmtId="164" fontId="22" fillId="0" borderId="1" xfId="0" applyNumberFormat="1" applyFont="1" applyBorder="1" applyAlignment="1">
      <alignment horizontal="center"/>
    </xf>
    <xf numFmtId="164" fontId="21" fillId="0" borderId="1" xfId="0" applyNumberFormat="1" applyFont="1" applyBorder="1" applyAlignment="1">
      <alignment horizontal="center"/>
    </xf>
    <xf numFmtId="168" fontId="0" fillId="0" borderId="0" xfId="0" applyNumberFormat="1"/>
    <xf numFmtId="164" fontId="6" fillId="5" borderId="12" xfId="0" applyNumberFormat="1" applyFont="1" applyFill="1" applyBorder="1" applyAlignment="1">
      <alignment horizontal="center"/>
    </xf>
    <xf numFmtId="168" fontId="6" fillId="5" borderId="1" xfId="0" applyNumberFormat="1" applyFont="1" applyFill="1" applyBorder="1" applyAlignment="1">
      <alignment horizontal="center"/>
    </xf>
    <xf numFmtId="168" fontId="6" fillId="0" borderId="0" xfId="0" applyNumberFormat="1" applyFont="1" applyAlignment="1">
      <alignment horizontal="center"/>
    </xf>
    <xf numFmtId="168" fontId="6" fillId="5" borderId="2" xfId="0" applyNumberFormat="1" applyFont="1" applyFill="1" applyBorder="1" applyAlignment="1">
      <alignment horizontal="center"/>
    </xf>
    <xf numFmtId="49" fontId="6" fillId="4" borderId="1" xfId="0" applyNumberFormat="1" applyFont="1" applyFill="1" applyBorder="1" applyAlignment="1">
      <alignment horizontal="center"/>
    </xf>
    <xf numFmtId="0" fontId="11" fillId="0" borderId="4" xfId="0" applyFont="1" applyBorder="1" applyAlignment="1">
      <alignment horizontal="left"/>
    </xf>
    <xf numFmtId="0" fontId="7" fillId="0" borderId="0" xfId="0" applyFont="1" applyAlignment="1">
      <alignment horizontal="distributed" indent="1"/>
    </xf>
    <xf numFmtId="0" fontId="4" fillId="0" borderId="7" xfId="0" applyFont="1" applyBorder="1" applyAlignment="1" applyProtection="1">
      <alignment horizontal="center" vertical="center"/>
      <protection locked="0"/>
    </xf>
    <xf numFmtId="0" fontId="4" fillId="0" borderId="9" xfId="0" applyFont="1" applyBorder="1" applyAlignment="1" applyProtection="1">
      <alignment horizontal="center" vertical="center"/>
      <protection locked="0"/>
    </xf>
    <xf numFmtId="0" fontId="4" fillId="0" borderId="13" xfId="0" applyFont="1" applyBorder="1" applyAlignment="1">
      <alignment horizontal="center" vertical="center"/>
    </xf>
    <xf numFmtId="0" fontId="4" fillId="0" borderId="9" xfId="0" applyFont="1" applyBorder="1" applyAlignment="1">
      <alignment horizontal="center" vertical="center"/>
    </xf>
    <xf numFmtId="0" fontId="3" fillId="0" borderId="2" xfId="0" applyFont="1" applyBorder="1" applyAlignment="1">
      <alignment horizontal="left"/>
    </xf>
    <xf numFmtId="0" fontId="3" fillId="0" borderId="3" xfId="0" applyFont="1" applyBorder="1" applyAlignment="1">
      <alignment horizontal="left"/>
    </xf>
    <xf numFmtId="0" fontId="3" fillId="0" borderId="2" xfId="0" applyFont="1" applyBorder="1" applyAlignment="1">
      <alignment horizontal="center"/>
    </xf>
    <xf numFmtId="0" fontId="0" fillId="0" borderId="15" xfId="0" applyBorder="1" applyAlignment="1">
      <alignment horizontal="center"/>
    </xf>
    <xf numFmtId="0" fontId="0" fillId="0" borderId="3" xfId="0" applyBorder="1" applyAlignment="1">
      <alignment horizontal="center"/>
    </xf>
    <xf numFmtId="0" fontId="13" fillId="0" borderId="2" xfId="0" applyFont="1" applyBorder="1" applyAlignment="1">
      <alignment horizontal="center" wrapText="1"/>
    </xf>
    <xf numFmtId="0" fontId="13" fillId="0" borderId="3" xfId="0" applyFont="1" applyBorder="1" applyAlignment="1">
      <alignment horizontal="center" wrapText="1"/>
    </xf>
    <xf numFmtId="0" fontId="15" fillId="0" borderId="6" xfId="0" applyFont="1" applyBorder="1" applyAlignment="1">
      <alignment horizontal="center"/>
    </xf>
    <xf numFmtId="0" fontId="15" fillId="0" borderId="10" xfId="0" applyFont="1" applyBorder="1" applyAlignment="1">
      <alignment horizontal="left" wrapText="1"/>
    </xf>
    <xf numFmtId="0" fontId="15" fillId="0" borderId="13" xfId="0" applyFont="1" applyBorder="1" applyAlignment="1">
      <alignment horizontal="left" wrapText="1"/>
    </xf>
    <xf numFmtId="0" fontId="15" fillId="0" borderId="0" xfId="0" applyFont="1" applyAlignment="1">
      <alignment horizontal="left" shrinkToFit="1"/>
    </xf>
    <xf numFmtId="0" fontId="15" fillId="0" borderId="0" xfId="0" quotePrefix="1" applyFont="1" applyAlignment="1">
      <alignment horizontal="left" shrinkToFit="1"/>
    </xf>
    <xf numFmtId="0" fontId="20" fillId="0" borderId="0" xfId="0" applyFont="1" applyAlignment="1">
      <alignment horizontal="right"/>
    </xf>
    <xf numFmtId="0" fontId="14" fillId="0" borderId="2" xfId="0" applyFont="1" applyBorder="1" applyAlignment="1">
      <alignment horizontal="center" vertical="center"/>
    </xf>
    <xf numFmtId="0" fontId="14" fillId="0" borderId="15" xfId="0" applyFont="1" applyBorder="1" applyAlignment="1">
      <alignment horizontal="center" vertical="center"/>
    </xf>
    <xf numFmtId="0" fontId="14" fillId="0" borderId="3" xfId="0" applyFont="1" applyBorder="1" applyAlignment="1">
      <alignment horizontal="center" vertical="center"/>
    </xf>
    <xf numFmtId="164" fontId="13" fillId="0" borderId="4" xfId="0" applyNumberFormat="1" applyFont="1" applyBorder="1" applyAlignment="1">
      <alignment horizontal="center"/>
    </xf>
    <xf numFmtId="49" fontId="17" fillId="0" borderId="2" xfId="0" applyNumberFormat="1" applyFont="1" applyBorder="1" applyAlignment="1">
      <alignment horizontal="center"/>
    </xf>
    <xf numFmtId="49" fontId="17" fillId="0" borderId="15" xfId="0" applyNumberFormat="1" applyFont="1" applyBorder="1" applyAlignment="1">
      <alignment horizontal="center"/>
    </xf>
    <xf numFmtId="0" fontId="6" fillId="0" borderId="11"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2" xfId="0" applyFont="1" applyBorder="1" applyAlignment="1">
      <alignment horizontal="center"/>
    </xf>
    <xf numFmtId="167" fontId="12" fillId="2" borderId="4" xfId="0" applyNumberFormat="1" applyFont="1" applyFill="1" applyBorder="1" applyAlignment="1">
      <alignment horizontal="center"/>
    </xf>
    <xf numFmtId="0" fontId="6" fillId="0" borderId="10" xfId="0" applyFont="1" applyBorder="1" applyAlignment="1">
      <alignment horizontal="center" shrinkToFit="1"/>
    </xf>
    <xf numFmtId="0" fontId="0" fillId="0" borderId="13" xfId="0" applyBorder="1" applyAlignment="1">
      <alignment horizontal="center" shrinkToFit="1"/>
    </xf>
    <xf numFmtId="0" fontId="6" fillId="0" borderId="5" xfId="0" applyFont="1" applyBorder="1" applyAlignment="1">
      <alignment horizontal="center" shrinkToFit="1"/>
    </xf>
    <xf numFmtId="0" fontId="0" fillId="0" borderId="7" xfId="0" applyBorder="1" applyAlignment="1">
      <alignment horizontal="center" shrinkToFit="1"/>
    </xf>
    <xf numFmtId="0" fontId="6" fillId="0" borderId="11"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12" xfId="0" applyFont="1" applyBorder="1" applyAlignment="1">
      <alignment horizontal="center" vertical="center" shrinkToFit="1"/>
    </xf>
    <xf numFmtId="0" fontId="6" fillId="0" borderId="2" xfId="0" applyFont="1" applyBorder="1" applyAlignment="1">
      <alignment horizontal="center" shrinkToFit="1"/>
    </xf>
    <xf numFmtId="0" fontId="6" fillId="0" borderId="3" xfId="0" applyFont="1" applyBorder="1" applyAlignment="1">
      <alignment horizontal="center" shrinkToFit="1"/>
    </xf>
    <xf numFmtId="0" fontId="0" fillId="0" borderId="14" xfId="0" applyBorder="1" applyAlignment="1">
      <alignment horizontal="center" vertical="center" wrapText="1"/>
    </xf>
    <xf numFmtId="167" fontId="12" fillId="0" borderId="4" xfId="0" applyNumberFormat="1" applyFont="1" applyBorder="1" applyAlignment="1">
      <alignment horizontal="center"/>
    </xf>
    <xf numFmtId="49" fontId="17" fillId="0" borderId="1" xfId="0" applyNumberFormat="1" applyFont="1" applyBorder="1" applyAlignment="1">
      <alignment horizontal="center"/>
    </xf>
    <xf numFmtId="164" fontId="13" fillId="2" borderId="0" xfId="0" applyNumberFormat="1" applyFont="1" applyFill="1" applyAlignment="1">
      <alignment horizontal="center"/>
    </xf>
    <xf numFmtId="0" fontId="0" fillId="0" borderId="15" xfId="0" applyBorder="1" applyAlignment="1">
      <alignment horizontal="center" shrinkToFit="1"/>
    </xf>
    <xf numFmtId="0" fontId="0" fillId="0" borderId="3" xfId="0" applyBorder="1" applyAlignment="1">
      <alignment horizontal="center" shrinkToFit="1"/>
    </xf>
    <xf numFmtId="0" fontId="6" fillId="0" borderId="7" xfId="0" applyFont="1" applyBorder="1" applyAlignment="1">
      <alignment horizontal="center" shrinkToFit="1"/>
    </xf>
    <xf numFmtId="0" fontId="6" fillId="0" borderId="10" xfId="0" applyFont="1" applyBorder="1" applyAlignment="1">
      <alignment horizontal="center"/>
    </xf>
    <xf numFmtId="0" fontId="6" fillId="0" borderId="13" xfId="0" applyFont="1" applyBorder="1" applyAlignment="1">
      <alignment horizontal="center"/>
    </xf>
    <xf numFmtId="164" fontId="13" fillId="2" borderId="4" xfId="0" applyNumberFormat="1" applyFont="1" applyFill="1" applyBorder="1" applyAlignment="1">
      <alignment horizontal="center"/>
    </xf>
    <xf numFmtId="0" fontId="6" fillId="0" borderId="6" xfId="0" applyFont="1" applyBorder="1" applyAlignment="1">
      <alignment horizontal="center" shrinkToFit="1"/>
    </xf>
    <xf numFmtId="164" fontId="6" fillId="0" borderId="2" xfId="0" applyNumberFormat="1" applyFont="1" applyBorder="1" applyAlignment="1">
      <alignment horizontal="center"/>
    </xf>
    <xf numFmtId="164" fontId="6" fillId="4" borderId="2" xfId="0" applyNumberFormat="1" applyFont="1" applyFill="1" applyBorder="1" applyAlignment="1">
      <alignment horizontal="center"/>
    </xf>
    <xf numFmtId="164" fontId="6" fillId="4" borderId="3" xfId="0" applyNumberFormat="1" applyFont="1" applyFill="1" applyBorder="1" applyAlignment="1">
      <alignment horizontal="center"/>
    </xf>
    <xf numFmtId="0" fontId="0" fillId="4" borderId="3" xfId="0" applyFill="1" applyBorder="1" applyAlignment="1">
      <alignment horizontal="center"/>
    </xf>
    <xf numFmtId="49" fontId="17" fillId="0" borderId="3" xfId="0" applyNumberFormat="1" applyFont="1" applyBorder="1" applyAlignment="1">
      <alignment horizontal="center"/>
    </xf>
    <xf numFmtId="0" fontId="6" fillId="0" borderId="5" xfId="0" applyFont="1" applyBorder="1" applyAlignment="1">
      <alignment horizontal="center" vertical="center" wrapText="1" shrinkToFit="1"/>
    </xf>
    <xf numFmtId="0" fontId="0" fillId="0" borderId="7" xfId="0" applyBorder="1" applyAlignment="1">
      <alignment horizontal="center" vertical="center" wrapText="1" shrinkToFit="1"/>
    </xf>
    <xf numFmtId="0" fontId="0" fillId="0" borderId="10" xfId="0" applyBorder="1" applyAlignment="1">
      <alignment horizontal="center" vertical="center" wrapText="1" shrinkToFit="1"/>
    </xf>
    <xf numFmtId="0" fontId="0" fillId="0" borderId="13" xfId="0" applyBorder="1" applyAlignment="1">
      <alignment horizontal="center" vertical="center" wrapText="1" shrinkToFit="1"/>
    </xf>
    <xf numFmtId="0" fontId="0" fillId="0" borderId="3" xfId="0" applyBorder="1"/>
    <xf numFmtId="0" fontId="0" fillId="0" borderId="7" xfId="0" applyBorder="1"/>
    <xf numFmtId="0" fontId="0" fillId="0" borderId="13" xfId="0" applyBorder="1"/>
  </cellXfs>
  <cellStyles count="2">
    <cellStyle name="Normal" xfId="0" builtinId="0"/>
    <cellStyle name="標準_KAZUSA" xfId="1" xr:uid="{00000000-0005-0000-0000-000001000000}"/>
  </cellStyles>
  <dxfs count="61">
    <dxf>
      <font>
        <b/>
        <i val="0"/>
        <color rgb="FFFF0000"/>
      </font>
      <fill>
        <patternFill>
          <bgColor rgb="FFFFCCFF"/>
        </patternFill>
      </fill>
    </dxf>
    <dxf>
      <font>
        <b/>
        <i val="0"/>
        <color rgb="FFFF0000"/>
      </font>
      <fill>
        <patternFill>
          <bgColor rgb="FFFFCCFF"/>
        </patternFill>
      </fill>
    </dxf>
    <dxf>
      <font>
        <b/>
        <i val="0"/>
        <color rgb="FFFF0000"/>
      </font>
      <fill>
        <patternFill>
          <bgColor rgb="FFFFCCFF"/>
        </patternFill>
      </fill>
    </dxf>
    <dxf>
      <font>
        <b/>
        <i val="0"/>
        <color rgb="FFFF0000"/>
      </font>
      <fill>
        <patternFill>
          <bgColor rgb="FFFFCCFF"/>
        </patternFill>
      </fill>
    </dxf>
    <dxf>
      <font>
        <b/>
        <i val="0"/>
      </font>
      <fill>
        <patternFill>
          <bgColor rgb="FFFFFF00"/>
        </patternFill>
      </fill>
    </dxf>
    <dxf>
      <fill>
        <patternFill>
          <bgColor theme="0"/>
        </patternFill>
      </fill>
    </dxf>
    <dxf>
      <font>
        <b/>
        <i val="0"/>
        <color rgb="FFFF0000"/>
      </font>
      <fill>
        <patternFill>
          <bgColor rgb="FFFFCCFF"/>
        </patternFill>
      </fill>
    </dxf>
    <dxf>
      <font>
        <b/>
        <i val="0"/>
        <color rgb="FFFF0000"/>
      </font>
      <fill>
        <patternFill>
          <bgColor rgb="FFFFCCFF"/>
        </patternFill>
      </fill>
    </dxf>
    <dxf>
      <font>
        <b/>
        <i val="0"/>
        <color rgb="FFFF0000"/>
      </font>
      <fill>
        <patternFill>
          <bgColor rgb="FFFFCCFF"/>
        </patternFill>
      </fill>
    </dxf>
    <dxf>
      <font>
        <b/>
        <i val="0"/>
        <color rgb="FFFF0000"/>
      </font>
      <fill>
        <patternFill>
          <bgColor rgb="FFFFCCFF"/>
        </patternFill>
      </fill>
    </dxf>
    <dxf>
      <font>
        <b/>
        <i val="0"/>
        <color rgb="FFFF0000"/>
      </font>
      <fill>
        <patternFill>
          <bgColor rgb="FFFFCCFF"/>
        </patternFill>
      </fill>
    </dxf>
    <dxf>
      <font>
        <b/>
        <i val="0"/>
      </font>
      <fill>
        <patternFill>
          <bgColor rgb="FFFFFF00"/>
        </patternFill>
      </fill>
    </dxf>
    <dxf>
      <fill>
        <patternFill>
          <bgColor theme="0"/>
        </patternFill>
      </fill>
    </dxf>
    <dxf>
      <font>
        <b/>
        <i val="0"/>
        <color rgb="FFFF0000"/>
      </font>
      <fill>
        <patternFill>
          <bgColor rgb="FFFFCCFF"/>
        </patternFill>
      </fill>
    </dxf>
    <dxf>
      <font>
        <b/>
        <i val="0"/>
      </font>
      <fill>
        <patternFill>
          <bgColor rgb="FFFFFF00"/>
        </patternFill>
      </fill>
    </dxf>
    <dxf>
      <font>
        <b/>
        <i val="0"/>
        <color rgb="FFFF0000"/>
      </font>
      <fill>
        <patternFill>
          <bgColor rgb="FFFFCCFF"/>
        </patternFill>
      </fill>
    </dxf>
    <dxf>
      <font>
        <b/>
        <i val="0"/>
      </font>
      <fill>
        <patternFill>
          <bgColor rgb="FFFFFF00"/>
        </patternFill>
      </fill>
    </dxf>
    <dxf>
      <font>
        <b/>
        <i val="0"/>
        <color rgb="FFFF0000"/>
      </font>
      <fill>
        <patternFill>
          <bgColor rgb="FFFFCCFF"/>
        </patternFill>
      </fill>
    </dxf>
    <dxf>
      <font>
        <b/>
        <i val="0"/>
      </font>
      <fill>
        <patternFill>
          <bgColor rgb="FFFFFF00"/>
        </patternFill>
      </fill>
    </dxf>
    <dxf>
      <font>
        <b/>
        <i val="0"/>
      </font>
      <fill>
        <patternFill>
          <bgColor rgb="FFFFFF00"/>
        </patternFill>
      </fill>
    </dxf>
    <dxf>
      <fill>
        <patternFill>
          <bgColor theme="0"/>
        </patternFill>
      </fill>
    </dxf>
    <dxf>
      <font>
        <b/>
        <i val="0"/>
        <color rgb="FFFF0000"/>
      </font>
      <fill>
        <patternFill>
          <bgColor rgb="FFFFCCFF"/>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rgb="FFFF0000"/>
      </font>
      <fill>
        <patternFill>
          <bgColor rgb="FFFFCCFF"/>
        </patternFill>
      </fill>
    </dxf>
    <dxf>
      <font>
        <b/>
        <i val="0"/>
        <color rgb="FFFF0000"/>
      </font>
      <fill>
        <patternFill>
          <bgColor rgb="FFFFCCFF"/>
        </patternFill>
      </fill>
    </dxf>
    <dxf>
      <fill>
        <patternFill>
          <bgColor theme="0"/>
        </patternFill>
      </fill>
    </dxf>
    <dxf>
      <fill>
        <patternFill patternType="solid">
          <bgColor theme="0"/>
        </patternFill>
      </fill>
    </dxf>
    <dxf>
      <font>
        <b/>
        <i val="0"/>
        <color rgb="FFFF0000"/>
      </font>
      <fill>
        <patternFill>
          <bgColor rgb="FFFFCCFF"/>
        </patternFill>
      </fill>
    </dxf>
    <dxf>
      <font>
        <b/>
        <i val="0"/>
        <color rgb="FFFF0000"/>
      </font>
      <fill>
        <patternFill>
          <bgColor rgb="FFFFCCFF"/>
        </patternFill>
      </fill>
    </dxf>
    <dxf>
      <fill>
        <patternFill patternType="solid">
          <bgColor theme="0"/>
        </patternFill>
      </fill>
    </dxf>
    <dxf>
      <font>
        <b/>
        <i val="0"/>
        <color rgb="FFFF0000"/>
      </font>
      <fill>
        <patternFill>
          <bgColor rgb="FFFFCCFF"/>
        </patternFill>
      </fill>
    </dxf>
    <dxf>
      <fill>
        <patternFill patternType="solid">
          <bgColor theme="0"/>
        </patternFill>
      </fill>
    </dxf>
    <dxf>
      <font>
        <b/>
        <i val="0"/>
      </font>
      <fill>
        <patternFill>
          <bgColor rgb="FFFFFF00"/>
        </patternFill>
      </fill>
    </dxf>
    <dxf>
      <font>
        <b/>
        <i val="0"/>
      </font>
      <fill>
        <patternFill>
          <bgColor rgb="FFFFFF00"/>
        </patternFill>
      </fill>
    </dxf>
    <dxf>
      <font>
        <b/>
        <i val="0"/>
        <color rgb="FFFF0000"/>
      </font>
      <fill>
        <patternFill>
          <bgColor rgb="FFFFCCFF"/>
        </patternFill>
      </fill>
    </dxf>
    <dxf>
      <fill>
        <patternFill patternType="solid">
          <bgColor theme="0"/>
        </patternFill>
      </fill>
    </dxf>
    <dxf>
      <font>
        <b/>
        <i val="0"/>
      </font>
      <fill>
        <patternFill>
          <bgColor rgb="FFFFFF00"/>
        </patternFill>
      </fill>
    </dxf>
    <dxf>
      <font>
        <b/>
        <i val="0"/>
      </font>
      <fill>
        <patternFill>
          <bgColor rgb="FFFFFF00"/>
        </patternFill>
      </fill>
    </dxf>
    <dxf>
      <font>
        <b/>
        <i val="0"/>
        <color rgb="FFFF0000"/>
      </font>
      <fill>
        <patternFill>
          <bgColor rgb="FFFFCCFF"/>
        </patternFill>
      </fill>
    </dxf>
    <dxf>
      <fill>
        <patternFill patternType="solid">
          <bgColor theme="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color rgb="FFFF0000"/>
      </font>
      <fill>
        <patternFill>
          <bgColor rgb="FFFFCCFF"/>
        </patternFill>
      </fill>
    </dxf>
    <dxf>
      <fill>
        <patternFill patternType="solid">
          <bgColor theme="0"/>
        </patternFill>
      </fill>
    </dxf>
    <dxf>
      <font>
        <b/>
        <i val="0"/>
      </font>
      <fill>
        <patternFill>
          <bgColor rgb="FFFFFF00"/>
        </patternFill>
      </fill>
    </dxf>
    <dxf>
      <font>
        <b/>
        <i val="0"/>
        <color rgb="FFFF0000"/>
      </font>
      <fill>
        <patternFill>
          <bgColor rgb="FFFFCCFF"/>
        </patternFill>
      </fill>
    </dxf>
    <dxf>
      <font>
        <b/>
        <i val="0"/>
        <color rgb="FFFF0000"/>
      </font>
      <fill>
        <patternFill>
          <bgColor rgb="FFFFCCFF"/>
        </patternFill>
      </fill>
    </dxf>
    <dxf>
      <font>
        <b val="0"/>
        <i val="0"/>
      </font>
    </dxf>
    <dxf>
      <font>
        <b/>
        <i val="0"/>
        <color auto="1"/>
      </font>
      <fill>
        <patternFill>
          <bgColor rgb="FFFFFF00"/>
        </patternFill>
      </fill>
    </dxf>
    <dxf>
      <font>
        <b/>
        <i val="0"/>
        <color rgb="FFFF0000"/>
      </font>
      <fill>
        <patternFill>
          <bgColor rgb="FFFFCCFF"/>
        </patternFill>
      </fill>
    </dxf>
    <dxf>
      <fill>
        <patternFill patternType="solid">
          <bgColor theme="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patternType="solid">
          <bgColor theme="0"/>
        </patternFill>
      </fill>
    </dxf>
    <dxf>
      <font>
        <b/>
        <i val="0"/>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9</xdr:col>
      <xdr:colOff>371475</xdr:colOff>
      <xdr:row>1</xdr:row>
      <xdr:rowOff>104775</xdr:rowOff>
    </xdr:from>
    <xdr:to>
      <xdr:col>10</xdr:col>
      <xdr:colOff>0</xdr:colOff>
      <xdr:row>3</xdr:row>
      <xdr:rowOff>9525</xdr:rowOff>
    </xdr:to>
    <xdr:sp macro="" textlink="">
      <xdr:nvSpPr>
        <xdr:cNvPr id="18595" name="Rectangle 1">
          <a:extLst>
            <a:ext uri="{FF2B5EF4-FFF2-40B4-BE49-F238E27FC236}">
              <a16:creationId xmlns:a16="http://schemas.microsoft.com/office/drawing/2014/main" id="{B4A86F86-0393-43D6-B59B-06E4ACB435F7}"/>
            </a:ext>
          </a:extLst>
        </xdr:cNvPr>
        <xdr:cNvSpPr>
          <a:spLocks noChangeArrowheads="1"/>
        </xdr:cNvSpPr>
      </xdr:nvSpPr>
      <xdr:spPr bwMode="auto">
        <a:xfrm>
          <a:off x="13001625" y="428625"/>
          <a:ext cx="0" cy="457200"/>
        </a:xfrm>
        <a:prstGeom prst="rect">
          <a:avLst/>
        </a:prstGeom>
        <a:solidFill>
          <a:srgbClr val="FFFFFF"/>
        </a:solidFill>
        <a:ln w="9525">
          <a:solidFill>
            <a:srgbClr val="000000"/>
          </a:solidFill>
          <a:miter lim="800000"/>
          <a:headEnd/>
          <a:tailEnd/>
        </a:ln>
      </xdr:spPr>
    </xdr:sp>
    <xdr:clientData/>
  </xdr:twoCellAnchor>
  <xdr:twoCellAnchor>
    <xdr:from>
      <xdr:col>11</xdr:col>
      <xdr:colOff>219075</xdr:colOff>
      <xdr:row>1</xdr:row>
      <xdr:rowOff>104775</xdr:rowOff>
    </xdr:from>
    <xdr:to>
      <xdr:col>13</xdr:col>
      <xdr:colOff>9525</xdr:colOff>
      <xdr:row>3</xdr:row>
      <xdr:rowOff>9525</xdr:rowOff>
    </xdr:to>
    <xdr:sp macro="" textlink="">
      <xdr:nvSpPr>
        <xdr:cNvPr id="18596" name="Rectangle 2">
          <a:extLst>
            <a:ext uri="{FF2B5EF4-FFF2-40B4-BE49-F238E27FC236}">
              <a16:creationId xmlns:a16="http://schemas.microsoft.com/office/drawing/2014/main" id="{F4A7DEC5-65AB-433B-91D8-A17E4DEC2C58}"/>
            </a:ext>
          </a:extLst>
        </xdr:cNvPr>
        <xdr:cNvSpPr>
          <a:spLocks noChangeArrowheads="1"/>
        </xdr:cNvSpPr>
      </xdr:nvSpPr>
      <xdr:spPr bwMode="auto">
        <a:xfrm>
          <a:off x="14316075" y="428625"/>
          <a:ext cx="1781175" cy="4572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41"/>
  <sheetViews>
    <sheetView zoomScale="75" zoomScaleNormal="75" workbookViewId="0">
      <selection activeCell="F2" sqref="F2"/>
    </sheetView>
  </sheetViews>
  <sheetFormatPr defaultColWidth="10.625" defaultRowHeight="14.25"/>
  <cols>
    <col min="1" max="1" width="6.5" style="3" bestFit="1" customWidth="1"/>
    <col min="2" max="2" width="15.125" style="3" customWidth="1"/>
    <col min="3" max="3" width="19.625" style="3" customWidth="1"/>
    <col min="4" max="4" width="31.625" style="3" customWidth="1"/>
    <col min="5" max="5" width="18.625" style="3" customWidth="1"/>
    <col min="6" max="6" width="18.75" style="3" customWidth="1"/>
    <col min="7" max="7" width="23" style="3" customWidth="1"/>
    <col min="8" max="9" width="18.625" style="27" customWidth="1"/>
    <col min="10" max="10" width="14.25" style="3" hidden="1" customWidth="1"/>
    <col min="11" max="11" width="14.25" style="27" customWidth="1"/>
    <col min="12" max="12" width="11.75" style="4" customWidth="1"/>
    <col min="13" max="13" width="14.25" style="27" customWidth="1"/>
    <col min="14" max="14" width="36.25" style="3" customWidth="1"/>
    <col min="15" max="16" width="19.5" style="3" customWidth="1"/>
    <col min="17" max="17" width="6.25" style="3" customWidth="1"/>
    <col min="18" max="16384" width="10.625" style="3"/>
  </cols>
  <sheetData>
    <row r="1" spans="1:17" ht="26.1" customHeight="1">
      <c r="C1" s="5" t="s">
        <v>5</v>
      </c>
      <c r="D1" s="46" t="e">
        <f>#REF!</f>
        <v>#REF!</v>
      </c>
      <c r="J1" s="190" t="s">
        <v>6</v>
      </c>
      <c r="K1" s="190"/>
      <c r="L1" s="190"/>
      <c r="M1" s="35"/>
      <c r="N1" s="22" t="s">
        <v>7</v>
      </c>
      <c r="Q1" s="1"/>
    </row>
    <row r="2" spans="1:17" ht="26.1" customHeight="1">
      <c r="C2" s="5" t="s">
        <v>8</v>
      </c>
      <c r="D2" s="46" t="e">
        <f>#REF!</f>
        <v>#REF!</v>
      </c>
      <c r="E2" s="5" t="s">
        <v>9</v>
      </c>
      <c r="F2" s="42"/>
      <c r="G2" s="42"/>
      <c r="H2" s="48" t="e">
        <f>#REF!</f>
        <v>#REF!</v>
      </c>
      <c r="I2" s="28"/>
      <c r="J2" s="14"/>
      <c r="K2" s="27" t="s">
        <v>10</v>
      </c>
      <c r="L2" s="22"/>
      <c r="M2" s="34"/>
      <c r="N2" s="4" t="s">
        <v>11</v>
      </c>
      <c r="Q2" s="1"/>
    </row>
    <row r="3" spans="1:17" ht="18" customHeight="1">
      <c r="D3" s="46" t="e">
        <f>#REF!</f>
        <v>#REF!</v>
      </c>
      <c r="E3" s="47" t="e">
        <f>#REF!</f>
        <v>#REF!</v>
      </c>
      <c r="F3" s="14"/>
      <c r="G3" s="14"/>
      <c r="H3" s="28"/>
      <c r="I3" s="28"/>
      <c r="J3" s="14"/>
      <c r="K3" s="27" t="s">
        <v>12</v>
      </c>
      <c r="L3" s="22"/>
      <c r="M3" s="34"/>
      <c r="N3" s="4" t="s">
        <v>13</v>
      </c>
      <c r="O3" s="14"/>
      <c r="P3" s="14"/>
      <c r="Q3" s="1"/>
    </row>
    <row r="4" spans="1:17" ht="18" customHeight="1">
      <c r="A4" s="15" t="s">
        <v>14</v>
      </c>
      <c r="B4" s="16"/>
      <c r="C4" s="16"/>
      <c r="D4" s="191" t="e">
        <f>#REF!</f>
        <v>#REF!</v>
      </c>
      <c r="E4" s="45" t="s">
        <v>4</v>
      </c>
      <c r="F4" s="23"/>
      <c r="G4" s="23"/>
      <c r="H4" s="29" t="s">
        <v>38</v>
      </c>
      <c r="I4" s="29"/>
      <c r="J4" s="16"/>
      <c r="K4" s="31"/>
      <c r="L4" s="36"/>
      <c r="M4" s="31"/>
      <c r="N4" s="15" t="s">
        <v>15</v>
      </c>
      <c r="O4" s="17"/>
      <c r="P4" s="14"/>
      <c r="Q4" s="1"/>
    </row>
    <row r="5" spans="1:17" ht="18" customHeight="1">
      <c r="A5" s="18" t="s">
        <v>16</v>
      </c>
      <c r="B5" s="19"/>
      <c r="C5" s="19"/>
      <c r="D5" s="192"/>
      <c r="E5" s="40" t="s">
        <v>17</v>
      </c>
      <c r="F5" s="12"/>
      <c r="G5" s="12"/>
      <c r="H5" s="48" t="e">
        <f>#REF!</f>
        <v>#REF!</v>
      </c>
      <c r="I5" s="30"/>
      <c r="J5" s="19"/>
      <c r="K5" s="32"/>
      <c r="L5" s="37"/>
      <c r="M5" s="32"/>
      <c r="N5" s="18" t="s">
        <v>18</v>
      </c>
      <c r="O5" s="20"/>
      <c r="P5" s="14"/>
      <c r="Q5" s="1"/>
    </row>
    <row r="6" spans="1:17" s="1" customFormat="1" ht="18" customHeight="1">
      <c r="A6" s="15" t="s">
        <v>19</v>
      </c>
      <c r="B6" s="16"/>
      <c r="C6" s="14"/>
      <c r="D6" s="193" t="e">
        <f>#REF!</f>
        <v>#REF!</v>
      </c>
      <c r="E6" s="15" t="s">
        <v>20</v>
      </c>
      <c r="F6" s="23"/>
      <c r="G6" s="23"/>
      <c r="H6" s="29"/>
      <c r="I6" s="29"/>
      <c r="J6" s="16"/>
      <c r="K6" s="31"/>
      <c r="L6" s="36"/>
      <c r="M6" s="28"/>
      <c r="N6" s="21"/>
      <c r="O6" s="10"/>
      <c r="P6" s="10"/>
    </row>
    <row r="7" spans="1:17" ht="18" customHeight="1">
      <c r="A7" s="18" t="s">
        <v>21</v>
      </c>
      <c r="B7" s="19"/>
      <c r="C7" s="19"/>
      <c r="D7" s="194"/>
      <c r="E7" s="18" t="s">
        <v>22</v>
      </c>
      <c r="F7" s="12"/>
      <c r="G7" s="12"/>
      <c r="H7" s="30"/>
      <c r="I7" s="30"/>
      <c r="J7" s="12" t="s">
        <v>37</v>
      </c>
      <c r="K7" s="30" t="s">
        <v>37</v>
      </c>
      <c r="L7" s="37"/>
      <c r="M7" s="28"/>
      <c r="N7" s="21"/>
      <c r="O7" s="5"/>
      <c r="P7" s="5"/>
    </row>
    <row r="8" spans="1:17" ht="20.100000000000001" customHeight="1">
      <c r="A8" s="6" t="s">
        <v>0</v>
      </c>
      <c r="B8" s="6" t="s">
        <v>1</v>
      </c>
      <c r="C8" s="13" t="s">
        <v>23</v>
      </c>
      <c r="D8" s="195" t="s">
        <v>24</v>
      </c>
      <c r="E8" s="196"/>
      <c r="F8" s="13" t="s">
        <v>25</v>
      </c>
      <c r="G8" s="13" t="s">
        <v>26</v>
      </c>
      <c r="H8" s="8" t="s">
        <v>27</v>
      </c>
      <c r="I8" s="8" t="s">
        <v>28</v>
      </c>
      <c r="J8" s="6" t="s">
        <v>2</v>
      </c>
      <c r="K8" s="197" t="s">
        <v>29</v>
      </c>
      <c r="L8" s="198"/>
      <c r="M8" s="199"/>
      <c r="N8" s="7" t="s">
        <v>30</v>
      </c>
      <c r="O8" s="9" t="s">
        <v>3</v>
      </c>
      <c r="P8" s="2" t="s">
        <v>31</v>
      </c>
      <c r="Q8" s="5"/>
    </row>
    <row r="9" spans="1:17" ht="19.5" customHeight="1">
      <c r="A9" s="2">
        <v>1</v>
      </c>
      <c r="B9" s="43" t="e">
        <f>IF(#REF!="","",#REF!)</f>
        <v>#REF!</v>
      </c>
      <c r="C9" s="43" t="e">
        <f>IF(#REF!="","",#REF!)</f>
        <v>#REF!</v>
      </c>
      <c r="D9" s="43" t="e">
        <f>IF(#REF!="",G9,#REF!)</f>
        <v>#REF!</v>
      </c>
      <c r="E9" s="43" t="e">
        <f>IF(#REF!="",F9,"")</f>
        <v>#REF!</v>
      </c>
      <c r="F9" s="2" t="e">
        <f>IF(#REF!="","",#REF!)</f>
        <v>#REF!</v>
      </c>
      <c r="G9" s="2" t="e">
        <f>IF(#REF!="","",#REF!)</f>
        <v>#REF!</v>
      </c>
      <c r="H9" s="52" t="e">
        <f>IF(#REF!="","",#REF!)</f>
        <v>#REF!</v>
      </c>
      <c r="I9" s="53" t="e">
        <f>IF(#REF!="","",#REF!)</f>
        <v>#REF!</v>
      </c>
      <c r="J9" s="41" t="e">
        <f>IF(#REF!="","",#REF!)</f>
        <v>#REF!</v>
      </c>
      <c r="K9" s="54" t="e">
        <f>IF(#REF!="","",#REF!)</f>
        <v>#REF!</v>
      </c>
      <c r="L9" s="54" t="e">
        <f>IF(#REF!="","",#REF!)</f>
        <v>#REF!</v>
      </c>
      <c r="M9" s="54" t="e">
        <f>IF(#REF!="","",#REF!)</f>
        <v>#REF!</v>
      </c>
      <c r="N9" s="54" t="e">
        <f>IF(#REF!="","",#REF!)</f>
        <v>#REF!</v>
      </c>
      <c r="O9" s="6" t="e">
        <f>IF(#REF!="","",#REF!)</f>
        <v>#REF!</v>
      </c>
      <c r="P9" s="44" t="e">
        <f>IF(#REF!="","",#REF!)</f>
        <v>#REF!</v>
      </c>
      <c r="Q9" s="39"/>
    </row>
    <row r="10" spans="1:17" ht="20.100000000000001" customHeight="1">
      <c r="A10" s="2">
        <v>2</v>
      </c>
      <c r="B10" s="43" t="e">
        <f>IF(#REF!="","",#REF!)</f>
        <v>#REF!</v>
      </c>
      <c r="C10" s="43" t="e">
        <f>IF(#REF!="","",#REF!)</f>
        <v>#REF!</v>
      </c>
      <c r="D10" s="43" t="e">
        <f>IF(#REF!="",G10,#REF!)</f>
        <v>#REF!</v>
      </c>
      <c r="E10" s="43" t="e">
        <f>IF(#REF!="",F10,"")</f>
        <v>#REF!</v>
      </c>
      <c r="F10" s="2" t="e">
        <f>IF(#REF!="","",#REF!)</f>
        <v>#REF!</v>
      </c>
      <c r="G10" s="2" t="e">
        <f>IF(#REF!="","",#REF!)</f>
        <v>#REF!</v>
      </c>
      <c r="H10" s="52" t="e">
        <f>IF(#REF!="","",#REF!)</f>
        <v>#REF!</v>
      </c>
      <c r="I10" s="53" t="e">
        <f>IF(#REF!="","",#REF!)</f>
        <v>#REF!</v>
      </c>
      <c r="J10" s="41" t="e">
        <f>IF(#REF!="","",#REF!)</f>
        <v>#REF!</v>
      </c>
      <c r="K10" s="54" t="e">
        <f>IF(#REF!="","",#REF!)</f>
        <v>#REF!</v>
      </c>
      <c r="L10" s="54" t="e">
        <f>IF(#REF!="","",#REF!)</f>
        <v>#REF!</v>
      </c>
      <c r="M10" s="54" t="e">
        <f>IF(#REF!="","",#REF!)</f>
        <v>#REF!</v>
      </c>
      <c r="N10" s="54" t="e">
        <f>IF(#REF!="","",#REF!)</f>
        <v>#REF!</v>
      </c>
      <c r="O10" s="6" t="e">
        <f>IF(#REF!="","",#REF!)</f>
        <v>#REF!</v>
      </c>
      <c r="P10" s="44" t="e">
        <f>IF(#REF!="","",#REF!)</f>
        <v>#REF!</v>
      </c>
      <c r="Q10" s="39"/>
    </row>
    <row r="11" spans="1:17" ht="20.100000000000001" customHeight="1">
      <c r="A11" s="2">
        <v>3</v>
      </c>
      <c r="B11" s="43" t="e">
        <f>IF(#REF!="","",#REF!)</f>
        <v>#REF!</v>
      </c>
      <c r="C11" s="43" t="e">
        <f>IF(#REF!="","",#REF!)</f>
        <v>#REF!</v>
      </c>
      <c r="D11" s="43" t="e">
        <f>IF(#REF!="",G11,#REF!)</f>
        <v>#REF!</v>
      </c>
      <c r="E11" s="43" t="e">
        <f>IF(#REF!="",F11,"")</f>
        <v>#REF!</v>
      </c>
      <c r="F11" s="2" t="e">
        <f>IF(#REF!="","",#REF!)</f>
        <v>#REF!</v>
      </c>
      <c r="G11" s="2" t="e">
        <f>IF(#REF!="","",#REF!)</f>
        <v>#REF!</v>
      </c>
      <c r="H11" s="52" t="e">
        <f>IF(#REF!="","",#REF!)</f>
        <v>#REF!</v>
      </c>
      <c r="I11" s="53" t="e">
        <f>IF(#REF!="","",#REF!)</f>
        <v>#REF!</v>
      </c>
      <c r="J11" s="41" t="e">
        <f>IF(#REF!="","",#REF!)</f>
        <v>#REF!</v>
      </c>
      <c r="K11" s="54" t="e">
        <f>IF(#REF!="","",#REF!)</f>
        <v>#REF!</v>
      </c>
      <c r="L11" s="54" t="e">
        <f>IF(#REF!="","",#REF!)</f>
        <v>#REF!</v>
      </c>
      <c r="M11" s="54" t="e">
        <f>IF(#REF!="","",#REF!)</f>
        <v>#REF!</v>
      </c>
      <c r="N11" s="54" t="e">
        <f>IF(#REF!="","",#REF!)</f>
        <v>#REF!</v>
      </c>
      <c r="O11" s="6" t="e">
        <f>IF(#REF!="","",#REF!)</f>
        <v>#REF!</v>
      </c>
      <c r="P11" s="44" t="e">
        <f>IF(#REF!="","",#REF!)</f>
        <v>#REF!</v>
      </c>
      <c r="Q11" s="39"/>
    </row>
    <row r="12" spans="1:17" ht="20.100000000000001" customHeight="1">
      <c r="A12" s="2">
        <v>4</v>
      </c>
      <c r="B12" s="43" t="e">
        <f>IF(#REF!="","",#REF!)</f>
        <v>#REF!</v>
      </c>
      <c r="C12" s="43" t="e">
        <f>IF(#REF!="","",#REF!)</f>
        <v>#REF!</v>
      </c>
      <c r="D12" s="43" t="e">
        <f>IF(#REF!="",G12,#REF!)</f>
        <v>#REF!</v>
      </c>
      <c r="E12" s="43" t="e">
        <f>IF(#REF!="",F12,"")</f>
        <v>#REF!</v>
      </c>
      <c r="F12" s="2" t="e">
        <f>IF(#REF!="","",#REF!)</f>
        <v>#REF!</v>
      </c>
      <c r="G12" s="2" t="e">
        <f>IF(#REF!="","",#REF!)</f>
        <v>#REF!</v>
      </c>
      <c r="H12" s="52" t="e">
        <f>IF(#REF!="","",#REF!)</f>
        <v>#REF!</v>
      </c>
      <c r="I12" s="53" t="e">
        <f>IF(#REF!="","",#REF!)</f>
        <v>#REF!</v>
      </c>
      <c r="J12" s="41" t="e">
        <f>IF(#REF!="","",#REF!)</f>
        <v>#REF!</v>
      </c>
      <c r="K12" s="54" t="e">
        <f>IF(#REF!="","",#REF!)</f>
        <v>#REF!</v>
      </c>
      <c r="L12" s="54" t="e">
        <f>IF(#REF!="","",#REF!)</f>
        <v>#REF!</v>
      </c>
      <c r="M12" s="54" t="e">
        <f>IF(#REF!="","",#REF!)</f>
        <v>#REF!</v>
      </c>
      <c r="N12" s="54" t="e">
        <f>IF(#REF!="","",#REF!)</f>
        <v>#REF!</v>
      </c>
      <c r="O12" s="6" t="e">
        <f>IF(#REF!="","",#REF!)</f>
        <v>#REF!</v>
      </c>
      <c r="P12" s="44" t="e">
        <f>IF(#REF!="","",#REF!)</f>
        <v>#REF!</v>
      </c>
      <c r="Q12" s="39"/>
    </row>
    <row r="13" spans="1:17" ht="20.100000000000001" customHeight="1">
      <c r="A13" s="2">
        <v>3</v>
      </c>
      <c r="B13" s="43" t="e">
        <f>IF(#REF!="","",#REF!)</f>
        <v>#REF!</v>
      </c>
      <c r="C13" s="43" t="e">
        <f>IF(#REF!="","",#REF!)</f>
        <v>#REF!</v>
      </c>
      <c r="D13" s="43" t="e">
        <f>IF(#REF!="",G13,#REF!)</f>
        <v>#REF!</v>
      </c>
      <c r="E13" s="43" t="e">
        <f>IF(#REF!="",F13,"")</f>
        <v>#REF!</v>
      </c>
      <c r="F13" s="2" t="e">
        <f>IF(#REF!="","",#REF!)</f>
        <v>#REF!</v>
      </c>
      <c r="G13" s="2" t="e">
        <f>IF(#REF!="","",#REF!)</f>
        <v>#REF!</v>
      </c>
      <c r="H13" s="52" t="e">
        <f>IF(#REF!="","",#REF!)</f>
        <v>#REF!</v>
      </c>
      <c r="I13" s="53" t="e">
        <f>IF(#REF!="","",#REF!)</f>
        <v>#REF!</v>
      </c>
      <c r="J13" s="41" t="e">
        <f>IF(#REF!="","",#REF!)</f>
        <v>#REF!</v>
      </c>
      <c r="K13" s="54" t="e">
        <f>IF(#REF!="","",#REF!)</f>
        <v>#REF!</v>
      </c>
      <c r="L13" s="54" t="e">
        <f>IF(#REF!="","",#REF!)</f>
        <v>#REF!</v>
      </c>
      <c r="M13" s="54" t="e">
        <f>IF(#REF!="","",#REF!)</f>
        <v>#REF!</v>
      </c>
      <c r="N13" s="54" t="e">
        <f>IF(#REF!="","",#REF!)</f>
        <v>#REF!</v>
      </c>
      <c r="O13" s="6" t="e">
        <f>IF(#REF!="","",#REF!)</f>
        <v>#REF!</v>
      </c>
      <c r="P13" s="44" t="e">
        <f>IF(#REF!="","",#REF!)</f>
        <v>#REF!</v>
      </c>
      <c r="Q13" s="39"/>
    </row>
    <row r="14" spans="1:17" ht="20.100000000000001" customHeight="1">
      <c r="A14" s="2">
        <v>4</v>
      </c>
      <c r="B14" s="43" t="e">
        <f>IF(#REF!="","",#REF!)</f>
        <v>#REF!</v>
      </c>
      <c r="C14" s="43" t="e">
        <f>IF(#REF!="","",#REF!)</f>
        <v>#REF!</v>
      </c>
      <c r="D14" s="43" t="e">
        <f>IF(#REF!="",G14,#REF!)</f>
        <v>#REF!</v>
      </c>
      <c r="E14" s="43" t="e">
        <f>IF(#REF!="",F14,"")</f>
        <v>#REF!</v>
      </c>
      <c r="F14" s="2" t="e">
        <f>IF(#REF!="","",#REF!)</f>
        <v>#REF!</v>
      </c>
      <c r="G14" s="2" t="e">
        <f>IF(#REF!="","",#REF!)</f>
        <v>#REF!</v>
      </c>
      <c r="H14" s="52" t="e">
        <f>IF(#REF!="","",#REF!)</f>
        <v>#REF!</v>
      </c>
      <c r="I14" s="53" t="e">
        <f>IF(#REF!="","",#REF!)</f>
        <v>#REF!</v>
      </c>
      <c r="J14" s="41" t="e">
        <f>IF(#REF!="","",#REF!)</f>
        <v>#REF!</v>
      </c>
      <c r="K14" s="54" t="e">
        <f>IF(#REF!="","",#REF!)</f>
        <v>#REF!</v>
      </c>
      <c r="L14" s="54" t="e">
        <f>IF(#REF!="","",#REF!)</f>
        <v>#REF!</v>
      </c>
      <c r="M14" s="54" t="e">
        <f>IF(#REF!="","",#REF!)</f>
        <v>#REF!</v>
      </c>
      <c r="N14" s="54" t="e">
        <f>IF(#REF!="","",#REF!)</f>
        <v>#REF!</v>
      </c>
      <c r="O14" s="6" t="e">
        <f>IF(#REF!="","",#REF!)</f>
        <v>#REF!</v>
      </c>
      <c r="P14" s="44" t="e">
        <f>IF(#REF!="","",#REF!)</f>
        <v>#REF!</v>
      </c>
      <c r="Q14" s="39"/>
    </row>
    <row r="15" spans="1:17" ht="19.5" customHeight="1">
      <c r="A15" s="2">
        <v>7</v>
      </c>
      <c r="B15" s="43" t="e">
        <f>IF(#REF!="","",#REF!)</f>
        <v>#REF!</v>
      </c>
      <c r="C15" s="43" t="e">
        <f>IF(#REF!="","",#REF!)</f>
        <v>#REF!</v>
      </c>
      <c r="D15" s="43" t="e">
        <f>IF(#REF!="",G15,#REF!)</f>
        <v>#REF!</v>
      </c>
      <c r="E15" s="43" t="e">
        <f>IF(#REF!="",F15,"")</f>
        <v>#REF!</v>
      </c>
      <c r="F15" s="2" t="e">
        <f>IF(#REF!="","",#REF!)</f>
        <v>#REF!</v>
      </c>
      <c r="G15" s="2" t="e">
        <f>IF(#REF!="","",#REF!)</f>
        <v>#REF!</v>
      </c>
      <c r="H15" s="52" t="e">
        <f>IF(#REF!="","",#REF!)</f>
        <v>#REF!</v>
      </c>
      <c r="I15" s="53" t="e">
        <f>IF(#REF!="","",#REF!)</f>
        <v>#REF!</v>
      </c>
      <c r="J15" s="41" t="e">
        <f>IF(#REF!="","",#REF!)</f>
        <v>#REF!</v>
      </c>
      <c r="K15" s="54" t="e">
        <f>IF(#REF!="","",#REF!)</f>
        <v>#REF!</v>
      </c>
      <c r="L15" s="54" t="e">
        <f>IF(#REF!="","",#REF!)</f>
        <v>#REF!</v>
      </c>
      <c r="M15" s="54" t="e">
        <f>IF(#REF!="","",#REF!)</f>
        <v>#REF!</v>
      </c>
      <c r="N15" s="54" t="e">
        <f>IF(#REF!="","",#REF!)</f>
        <v>#REF!</v>
      </c>
      <c r="O15" s="6" t="e">
        <f>IF(#REF!="","",#REF!)</f>
        <v>#REF!</v>
      </c>
      <c r="P15" s="44" t="e">
        <f>IF(#REF!="","",#REF!)</f>
        <v>#REF!</v>
      </c>
      <c r="Q15" s="39"/>
    </row>
    <row r="16" spans="1:17" ht="20.100000000000001" customHeight="1">
      <c r="A16" s="2">
        <v>8</v>
      </c>
      <c r="B16" s="43" t="e">
        <f>IF(#REF!="","",#REF!)</f>
        <v>#REF!</v>
      </c>
      <c r="C16" s="43" t="e">
        <f>IF(#REF!="","",#REF!)</f>
        <v>#REF!</v>
      </c>
      <c r="D16" s="43" t="e">
        <f>IF(#REF!="",G16,#REF!)</f>
        <v>#REF!</v>
      </c>
      <c r="E16" s="43" t="e">
        <f>IF(#REF!="",F16,"")</f>
        <v>#REF!</v>
      </c>
      <c r="F16" s="2" t="e">
        <f>IF(#REF!="","",#REF!)</f>
        <v>#REF!</v>
      </c>
      <c r="G16" s="2" t="e">
        <f>IF(#REF!="","",#REF!)</f>
        <v>#REF!</v>
      </c>
      <c r="H16" s="52" t="e">
        <f>IF(#REF!="","",#REF!)</f>
        <v>#REF!</v>
      </c>
      <c r="I16" s="53" t="e">
        <f>IF(#REF!="","",#REF!)</f>
        <v>#REF!</v>
      </c>
      <c r="J16" s="41" t="e">
        <f>IF(#REF!="","",#REF!)</f>
        <v>#REF!</v>
      </c>
      <c r="K16" s="54" t="e">
        <f>IF(#REF!="","",#REF!)</f>
        <v>#REF!</v>
      </c>
      <c r="L16" s="54" t="e">
        <f>IF(#REF!="","",#REF!)</f>
        <v>#REF!</v>
      </c>
      <c r="M16" s="54" t="e">
        <f>IF(#REF!="","",#REF!)</f>
        <v>#REF!</v>
      </c>
      <c r="N16" s="54" t="e">
        <f>IF(#REF!="","",#REF!)</f>
        <v>#REF!</v>
      </c>
      <c r="O16" s="6" t="e">
        <f>IF(#REF!="","",#REF!)</f>
        <v>#REF!</v>
      </c>
      <c r="P16" s="44" t="e">
        <f>IF(#REF!="","",#REF!)</f>
        <v>#REF!</v>
      </c>
      <c r="Q16" s="39"/>
    </row>
    <row r="17" spans="1:17" ht="19.5" customHeight="1">
      <c r="A17" s="2">
        <v>9</v>
      </c>
      <c r="B17" s="43" t="e">
        <f>IF(#REF!="","",#REF!)</f>
        <v>#REF!</v>
      </c>
      <c r="C17" s="43" t="e">
        <f>IF(#REF!="","",#REF!)</f>
        <v>#REF!</v>
      </c>
      <c r="D17" s="43" t="e">
        <f>IF(#REF!="",G17,#REF!)</f>
        <v>#REF!</v>
      </c>
      <c r="E17" s="43" t="e">
        <f>IF(#REF!="",F17,"")</f>
        <v>#REF!</v>
      </c>
      <c r="F17" s="2" t="e">
        <f>IF(#REF!="","",#REF!)</f>
        <v>#REF!</v>
      </c>
      <c r="G17" s="2" t="e">
        <f>IF(#REF!="","",#REF!)</f>
        <v>#REF!</v>
      </c>
      <c r="H17" s="52" t="e">
        <f>IF(#REF!="","",#REF!)</f>
        <v>#REF!</v>
      </c>
      <c r="I17" s="53" t="e">
        <f>IF(#REF!="","",#REF!)</f>
        <v>#REF!</v>
      </c>
      <c r="J17" s="41" t="e">
        <f>IF(#REF!="","",#REF!)</f>
        <v>#REF!</v>
      </c>
      <c r="K17" s="54" t="e">
        <f>IF(#REF!="","",#REF!)</f>
        <v>#REF!</v>
      </c>
      <c r="L17" s="54" t="e">
        <f>IF(#REF!="","",#REF!)</f>
        <v>#REF!</v>
      </c>
      <c r="M17" s="54" t="e">
        <f>IF(#REF!="","",#REF!)</f>
        <v>#REF!</v>
      </c>
      <c r="N17" s="54" t="e">
        <f>IF(#REF!="","",#REF!)</f>
        <v>#REF!</v>
      </c>
      <c r="O17" s="6" t="e">
        <f>IF(#REF!="","",#REF!)</f>
        <v>#REF!</v>
      </c>
      <c r="P17" s="44" t="e">
        <f>IF(#REF!="","",#REF!)</f>
        <v>#REF!</v>
      </c>
      <c r="Q17" s="39"/>
    </row>
    <row r="18" spans="1:17" ht="20.100000000000001" customHeight="1">
      <c r="A18" s="2">
        <v>10</v>
      </c>
      <c r="B18" s="43" t="e">
        <f>IF(#REF!="","",#REF!)</f>
        <v>#REF!</v>
      </c>
      <c r="C18" s="43" t="e">
        <f>IF(#REF!="","",#REF!)</f>
        <v>#REF!</v>
      </c>
      <c r="D18" s="43" t="e">
        <f>IF(#REF!="",G18,#REF!)</f>
        <v>#REF!</v>
      </c>
      <c r="E18" s="43" t="e">
        <f>IF(#REF!="",F18,"")</f>
        <v>#REF!</v>
      </c>
      <c r="F18" s="2" t="e">
        <f>IF(#REF!="","",#REF!)</f>
        <v>#REF!</v>
      </c>
      <c r="G18" s="2" t="e">
        <f>IF(#REF!="","",#REF!)</f>
        <v>#REF!</v>
      </c>
      <c r="H18" s="52" t="e">
        <f>IF(#REF!="","",#REF!)</f>
        <v>#REF!</v>
      </c>
      <c r="I18" s="53" t="e">
        <f>IF(#REF!="","",#REF!)</f>
        <v>#REF!</v>
      </c>
      <c r="J18" s="41" t="e">
        <f>IF(#REF!="","",#REF!)</f>
        <v>#REF!</v>
      </c>
      <c r="K18" s="54" t="e">
        <f>IF(#REF!="","",#REF!)</f>
        <v>#REF!</v>
      </c>
      <c r="L18" s="54" t="e">
        <f>IF(#REF!="","",#REF!)</f>
        <v>#REF!</v>
      </c>
      <c r="M18" s="54" t="e">
        <f>IF(#REF!="","",#REF!)</f>
        <v>#REF!</v>
      </c>
      <c r="N18" s="54" t="e">
        <f>IF(#REF!="","",#REF!)</f>
        <v>#REF!</v>
      </c>
      <c r="O18" s="6" t="e">
        <f>IF(#REF!="","",#REF!)</f>
        <v>#REF!</v>
      </c>
      <c r="P18" s="44" t="e">
        <f>IF(#REF!="","",#REF!)</f>
        <v>#REF!</v>
      </c>
      <c r="Q18" s="39"/>
    </row>
    <row r="19" spans="1:17" ht="19.5" customHeight="1">
      <c r="A19" s="2">
        <v>11</v>
      </c>
      <c r="B19" s="43" t="e">
        <f>IF(#REF!="","",#REF!)</f>
        <v>#REF!</v>
      </c>
      <c r="C19" s="43" t="e">
        <f>IF(#REF!="","",#REF!)</f>
        <v>#REF!</v>
      </c>
      <c r="D19" s="43" t="e">
        <f>IF(#REF!="",G19,#REF!)</f>
        <v>#REF!</v>
      </c>
      <c r="E19" s="43" t="e">
        <f>IF(#REF!="",F19,"")</f>
        <v>#REF!</v>
      </c>
      <c r="F19" s="2" t="e">
        <f>IF(#REF!="","",#REF!)</f>
        <v>#REF!</v>
      </c>
      <c r="G19" s="2" t="e">
        <f>IF(#REF!="","",#REF!)</f>
        <v>#REF!</v>
      </c>
      <c r="H19" s="52" t="e">
        <f>IF(#REF!="","",#REF!)</f>
        <v>#REF!</v>
      </c>
      <c r="I19" s="53" t="e">
        <f>IF(#REF!="","",#REF!)</f>
        <v>#REF!</v>
      </c>
      <c r="J19" s="41" t="e">
        <f>IF(#REF!="","",#REF!)</f>
        <v>#REF!</v>
      </c>
      <c r="K19" s="54" t="e">
        <f>IF(#REF!="","",#REF!)</f>
        <v>#REF!</v>
      </c>
      <c r="L19" s="54" t="e">
        <f>IF(#REF!="","",#REF!)</f>
        <v>#REF!</v>
      </c>
      <c r="M19" s="54" t="e">
        <f>IF(#REF!="","",#REF!)</f>
        <v>#REF!</v>
      </c>
      <c r="N19" s="54" t="e">
        <f>IF(#REF!="","",#REF!)</f>
        <v>#REF!</v>
      </c>
      <c r="O19" s="6" t="e">
        <f>IF(#REF!="","",#REF!)</f>
        <v>#REF!</v>
      </c>
      <c r="P19" s="44" t="e">
        <f>IF(#REF!="","",#REF!)</f>
        <v>#REF!</v>
      </c>
      <c r="Q19" s="39"/>
    </row>
    <row r="20" spans="1:17" ht="20.100000000000001" customHeight="1">
      <c r="A20" s="2">
        <v>12</v>
      </c>
      <c r="B20" s="43" t="e">
        <f>IF(#REF!="","",#REF!)</f>
        <v>#REF!</v>
      </c>
      <c r="C20" s="43" t="e">
        <f>IF(#REF!="","",#REF!)</f>
        <v>#REF!</v>
      </c>
      <c r="D20" s="43" t="e">
        <f>IF(#REF!="",G20,#REF!)</f>
        <v>#REF!</v>
      </c>
      <c r="E20" s="43" t="e">
        <f>IF(#REF!="",F20,"")</f>
        <v>#REF!</v>
      </c>
      <c r="F20" s="2" t="e">
        <f>IF(#REF!="","",#REF!)</f>
        <v>#REF!</v>
      </c>
      <c r="G20" s="2" t="e">
        <f>IF(#REF!="","",#REF!)</f>
        <v>#REF!</v>
      </c>
      <c r="H20" s="52" t="e">
        <f>IF(#REF!="","",#REF!)</f>
        <v>#REF!</v>
      </c>
      <c r="I20" s="53" t="e">
        <f>IF(#REF!="","",#REF!)</f>
        <v>#REF!</v>
      </c>
      <c r="J20" s="41" t="e">
        <f>IF(#REF!="","",#REF!)</f>
        <v>#REF!</v>
      </c>
      <c r="K20" s="54" t="e">
        <f>IF(#REF!="","",#REF!)</f>
        <v>#REF!</v>
      </c>
      <c r="L20" s="54" t="e">
        <f>IF(#REF!="","",#REF!)</f>
        <v>#REF!</v>
      </c>
      <c r="M20" s="54" t="e">
        <f>IF(#REF!="","",#REF!)</f>
        <v>#REF!</v>
      </c>
      <c r="N20" s="54" t="e">
        <f>IF(#REF!="","",#REF!)</f>
        <v>#REF!</v>
      </c>
      <c r="O20" s="6" t="e">
        <f>IF(#REF!="","",#REF!)</f>
        <v>#REF!</v>
      </c>
      <c r="P20" s="44" t="e">
        <f>IF(#REF!="","",#REF!)</f>
        <v>#REF!</v>
      </c>
      <c r="Q20" s="39"/>
    </row>
    <row r="21" spans="1:17" ht="19.5" customHeight="1">
      <c r="A21" s="2">
        <v>13</v>
      </c>
      <c r="B21" s="43" t="e">
        <f>IF(#REF!="","",#REF!)</f>
        <v>#REF!</v>
      </c>
      <c r="C21" s="43" t="e">
        <f>IF(#REF!="","",#REF!)</f>
        <v>#REF!</v>
      </c>
      <c r="D21" s="43" t="e">
        <f>IF(#REF!="",G21,#REF!)</f>
        <v>#REF!</v>
      </c>
      <c r="E21" s="43" t="e">
        <f>IF(#REF!="",F21,"")</f>
        <v>#REF!</v>
      </c>
      <c r="F21" s="2" t="e">
        <f>IF(#REF!="","",#REF!)</f>
        <v>#REF!</v>
      </c>
      <c r="G21" s="2" t="e">
        <f>IF(#REF!="","",#REF!)</f>
        <v>#REF!</v>
      </c>
      <c r="H21" s="52" t="e">
        <f>IF(#REF!="","",#REF!)</f>
        <v>#REF!</v>
      </c>
      <c r="I21" s="53" t="e">
        <f>IF(#REF!="","",#REF!)</f>
        <v>#REF!</v>
      </c>
      <c r="J21" s="41" t="e">
        <f>IF(#REF!="","",#REF!)</f>
        <v>#REF!</v>
      </c>
      <c r="K21" s="54" t="e">
        <f>IF(#REF!="","",#REF!)</f>
        <v>#REF!</v>
      </c>
      <c r="L21" s="54" t="e">
        <f>IF(#REF!="","",#REF!)</f>
        <v>#REF!</v>
      </c>
      <c r="M21" s="54" t="e">
        <f>IF(#REF!="","",#REF!)</f>
        <v>#REF!</v>
      </c>
      <c r="N21" s="54" t="e">
        <f>IF(#REF!="","",#REF!)</f>
        <v>#REF!</v>
      </c>
      <c r="O21" s="6" t="e">
        <f>IF(#REF!="","",#REF!)</f>
        <v>#REF!</v>
      </c>
      <c r="P21" s="44" t="e">
        <f>IF(#REF!="","",#REF!)</f>
        <v>#REF!</v>
      </c>
      <c r="Q21" s="39"/>
    </row>
    <row r="22" spans="1:17" ht="20.100000000000001" customHeight="1">
      <c r="A22" s="2">
        <v>14</v>
      </c>
      <c r="B22" s="43" t="e">
        <f>IF(#REF!="","",#REF!)</f>
        <v>#REF!</v>
      </c>
      <c r="C22" s="43" t="e">
        <f>IF(#REF!="","",#REF!)</f>
        <v>#REF!</v>
      </c>
      <c r="D22" s="43" t="e">
        <f>IF(#REF!="",G22,#REF!)</f>
        <v>#REF!</v>
      </c>
      <c r="E22" s="43" t="e">
        <f>IF(#REF!="",F22,"")</f>
        <v>#REF!</v>
      </c>
      <c r="F22" s="2" t="e">
        <f>IF(#REF!="","",#REF!)</f>
        <v>#REF!</v>
      </c>
      <c r="G22" s="2" t="e">
        <f>IF(#REF!="","",#REF!)</f>
        <v>#REF!</v>
      </c>
      <c r="H22" s="52" t="e">
        <f>IF(#REF!="","",#REF!)</f>
        <v>#REF!</v>
      </c>
      <c r="I22" s="53" t="e">
        <f>IF(#REF!="","",#REF!)</f>
        <v>#REF!</v>
      </c>
      <c r="J22" s="41" t="e">
        <f>IF(#REF!="","",#REF!)</f>
        <v>#REF!</v>
      </c>
      <c r="K22" s="54" t="e">
        <f>IF(#REF!="","",#REF!)</f>
        <v>#REF!</v>
      </c>
      <c r="L22" s="54" t="e">
        <f>IF(#REF!="","",#REF!)</f>
        <v>#REF!</v>
      </c>
      <c r="M22" s="54" t="e">
        <f>IF(#REF!="","",#REF!)</f>
        <v>#REF!</v>
      </c>
      <c r="N22" s="54" t="e">
        <f>IF(#REF!="","",#REF!)</f>
        <v>#REF!</v>
      </c>
      <c r="O22" s="6" t="e">
        <f>IF(#REF!="","",#REF!)</f>
        <v>#REF!</v>
      </c>
      <c r="P22" s="44" t="e">
        <f>IF(#REF!="","",#REF!)</f>
        <v>#REF!</v>
      </c>
      <c r="Q22" s="39"/>
    </row>
    <row r="23" spans="1:17" ht="19.5" customHeight="1">
      <c r="A23" s="2">
        <v>15</v>
      </c>
      <c r="B23" s="43" t="e">
        <f>IF(#REF!="","",#REF!)</f>
        <v>#REF!</v>
      </c>
      <c r="C23" s="43" t="e">
        <f>IF(#REF!="","",#REF!)</f>
        <v>#REF!</v>
      </c>
      <c r="D23" s="43" t="e">
        <f>IF(#REF!="",G23,#REF!)</f>
        <v>#REF!</v>
      </c>
      <c r="E23" s="43" t="e">
        <f>IF(#REF!="",F23,"")</f>
        <v>#REF!</v>
      </c>
      <c r="F23" s="2" t="e">
        <f>IF(#REF!="","",#REF!)</f>
        <v>#REF!</v>
      </c>
      <c r="G23" s="2" t="e">
        <f>IF(#REF!="","",#REF!)</f>
        <v>#REF!</v>
      </c>
      <c r="H23" s="52" t="e">
        <f>IF(#REF!="","",#REF!)</f>
        <v>#REF!</v>
      </c>
      <c r="I23" s="53" t="e">
        <f>IF(#REF!="","",#REF!)</f>
        <v>#REF!</v>
      </c>
      <c r="J23" s="41" t="e">
        <f>IF(#REF!="","",#REF!)</f>
        <v>#REF!</v>
      </c>
      <c r="K23" s="54" t="e">
        <f>IF(#REF!="","",#REF!)</f>
        <v>#REF!</v>
      </c>
      <c r="L23" s="54" t="e">
        <f>IF(#REF!="","",#REF!)</f>
        <v>#REF!</v>
      </c>
      <c r="M23" s="54" t="e">
        <f>IF(#REF!="","",#REF!)</f>
        <v>#REF!</v>
      </c>
      <c r="N23" s="54" t="e">
        <f>IF(#REF!="","",#REF!)</f>
        <v>#REF!</v>
      </c>
      <c r="O23" s="6" t="e">
        <f>IF(#REF!="","",#REF!)</f>
        <v>#REF!</v>
      </c>
      <c r="P23" s="44" t="e">
        <f>IF(#REF!="","",#REF!)</f>
        <v>#REF!</v>
      </c>
      <c r="Q23" s="39"/>
    </row>
    <row r="24" spans="1:17" ht="19.5" customHeight="1">
      <c r="A24" s="2">
        <v>16</v>
      </c>
      <c r="B24" s="43" t="e">
        <f>IF(#REF!="","",#REF!)</f>
        <v>#REF!</v>
      </c>
      <c r="C24" s="43" t="e">
        <f>IF(#REF!="","",#REF!)</f>
        <v>#REF!</v>
      </c>
      <c r="D24" s="43" t="e">
        <f>IF(#REF!="",G24,#REF!)</f>
        <v>#REF!</v>
      </c>
      <c r="E24" s="43" t="e">
        <f>IF(#REF!="",F24,"")</f>
        <v>#REF!</v>
      </c>
      <c r="F24" s="2" t="e">
        <f>IF(#REF!="","",#REF!)</f>
        <v>#REF!</v>
      </c>
      <c r="G24" s="2" t="e">
        <f>IF(#REF!="","",#REF!)</f>
        <v>#REF!</v>
      </c>
      <c r="H24" s="52" t="e">
        <f>IF(#REF!="","",#REF!)</f>
        <v>#REF!</v>
      </c>
      <c r="I24" s="53" t="e">
        <f>IF(#REF!="","",#REF!)</f>
        <v>#REF!</v>
      </c>
      <c r="J24" s="41" t="e">
        <f>IF(#REF!="","",#REF!)</f>
        <v>#REF!</v>
      </c>
      <c r="K24" s="54" t="e">
        <f>IF(#REF!="","",#REF!)</f>
        <v>#REF!</v>
      </c>
      <c r="L24" s="54" t="e">
        <f>IF(#REF!="","",#REF!)</f>
        <v>#REF!</v>
      </c>
      <c r="M24" s="54" t="e">
        <f>IF(#REF!="","",#REF!)</f>
        <v>#REF!</v>
      </c>
      <c r="N24" s="54" t="e">
        <f>IF(#REF!="","",#REF!)</f>
        <v>#REF!</v>
      </c>
      <c r="O24" s="6" t="e">
        <f>IF(#REF!="","",#REF!)</f>
        <v>#REF!</v>
      </c>
      <c r="P24" s="44" t="e">
        <f>IF(#REF!="","",#REF!)</f>
        <v>#REF!</v>
      </c>
      <c r="Q24" s="39"/>
    </row>
    <row r="25" spans="1:17" ht="19.5" customHeight="1">
      <c r="A25" s="2">
        <v>17</v>
      </c>
      <c r="B25" s="43" t="e">
        <f>IF(#REF!="","",#REF!)</f>
        <v>#REF!</v>
      </c>
      <c r="C25" s="43" t="e">
        <f>IF(#REF!="","",#REF!)</f>
        <v>#REF!</v>
      </c>
      <c r="D25" s="43" t="e">
        <f>IF(#REF!="",G25,#REF!)</f>
        <v>#REF!</v>
      </c>
      <c r="E25" s="43" t="e">
        <f>IF(#REF!="",F25,"")</f>
        <v>#REF!</v>
      </c>
      <c r="F25" s="2" t="e">
        <f>IF(#REF!="","",#REF!)</f>
        <v>#REF!</v>
      </c>
      <c r="G25" s="2" t="e">
        <f>IF(#REF!="","",#REF!)</f>
        <v>#REF!</v>
      </c>
      <c r="H25" s="52" t="e">
        <f>IF(#REF!="","",#REF!)</f>
        <v>#REF!</v>
      </c>
      <c r="I25" s="53" t="e">
        <f>IF(#REF!="","",#REF!)</f>
        <v>#REF!</v>
      </c>
      <c r="J25" s="41" t="e">
        <f>IF(#REF!="","",#REF!)</f>
        <v>#REF!</v>
      </c>
      <c r="K25" s="54" t="e">
        <f>IF(#REF!="","",#REF!)</f>
        <v>#REF!</v>
      </c>
      <c r="L25" s="54" t="e">
        <f>IF(#REF!="","",#REF!)</f>
        <v>#REF!</v>
      </c>
      <c r="M25" s="54" t="e">
        <f>IF(#REF!="","",#REF!)</f>
        <v>#REF!</v>
      </c>
      <c r="N25" s="54" t="e">
        <f>IF(#REF!="","",#REF!)</f>
        <v>#REF!</v>
      </c>
      <c r="O25" s="6" t="e">
        <f>IF(#REF!="","",#REF!)</f>
        <v>#REF!</v>
      </c>
      <c r="P25" s="44" t="e">
        <f>IF(#REF!="","",#REF!)</f>
        <v>#REF!</v>
      </c>
      <c r="Q25" s="39"/>
    </row>
    <row r="26" spans="1:17" ht="19.5" customHeight="1">
      <c r="A26" s="2">
        <v>18</v>
      </c>
      <c r="B26" s="43" t="e">
        <f>IF(#REF!="","",#REF!)</f>
        <v>#REF!</v>
      </c>
      <c r="C26" s="43" t="e">
        <f>IF(#REF!="","",#REF!)</f>
        <v>#REF!</v>
      </c>
      <c r="D26" s="43" t="e">
        <f>IF(#REF!="",G26,#REF!)</f>
        <v>#REF!</v>
      </c>
      <c r="E26" s="43" t="e">
        <f>IF(#REF!="",F26,"")</f>
        <v>#REF!</v>
      </c>
      <c r="F26" s="2" t="e">
        <f>IF(#REF!="","",#REF!)</f>
        <v>#REF!</v>
      </c>
      <c r="G26" s="2" t="e">
        <f>IF(#REF!="","",#REF!)</f>
        <v>#REF!</v>
      </c>
      <c r="H26" s="52" t="e">
        <f>IF(#REF!="","",#REF!)</f>
        <v>#REF!</v>
      </c>
      <c r="I26" s="53" t="e">
        <f>IF(#REF!="","",#REF!)</f>
        <v>#REF!</v>
      </c>
      <c r="J26" s="41" t="e">
        <f>IF(#REF!="","",#REF!)</f>
        <v>#REF!</v>
      </c>
      <c r="K26" s="54" t="e">
        <f>IF(#REF!="","",#REF!)</f>
        <v>#REF!</v>
      </c>
      <c r="L26" s="54" t="e">
        <f>IF(#REF!="","",#REF!)</f>
        <v>#REF!</v>
      </c>
      <c r="M26" s="54" t="e">
        <f>IF(#REF!="","",#REF!)</f>
        <v>#REF!</v>
      </c>
      <c r="N26" s="54" t="e">
        <f>IF(#REF!="","",#REF!)</f>
        <v>#REF!</v>
      </c>
      <c r="O26" s="6" t="e">
        <f>IF(#REF!="","",#REF!)</f>
        <v>#REF!</v>
      </c>
      <c r="P26" s="44" t="e">
        <f>IF(#REF!="","",#REF!)</f>
        <v>#REF!</v>
      </c>
      <c r="Q26" s="39"/>
    </row>
    <row r="27" spans="1:17" ht="19.5" customHeight="1">
      <c r="A27" s="2">
        <v>19</v>
      </c>
      <c r="B27" s="43" t="e">
        <f>IF(#REF!="","",#REF!)</f>
        <v>#REF!</v>
      </c>
      <c r="C27" s="43" t="e">
        <f>IF(#REF!="","",#REF!)</f>
        <v>#REF!</v>
      </c>
      <c r="D27" s="43" t="e">
        <f>IF(#REF!="",G27,#REF!)</f>
        <v>#REF!</v>
      </c>
      <c r="E27" s="43" t="e">
        <f>IF(#REF!="",F27,"")</f>
        <v>#REF!</v>
      </c>
      <c r="F27" s="2" t="e">
        <f>IF(#REF!="","",#REF!)</f>
        <v>#REF!</v>
      </c>
      <c r="G27" s="2" t="e">
        <f>IF(#REF!="","",#REF!)</f>
        <v>#REF!</v>
      </c>
      <c r="H27" s="52" t="e">
        <f>IF(#REF!="","",#REF!)</f>
        <v>#REF!</v>
      </c>
      <c r="I27" s="53" t="e">
        <f>IF(#REF!="","",#REF!)</f>
        <v>#REF!</v>
      </c>
      <c r="J27" s="41" t="e">
        <f>IF(#REF!="","",#REF!)</f>
        <v>#REF!</v>
      </c>
      <c r="K27" s="54" t="e">
        <f>IF(#REF!="","",#REF!)</f>
        <v>#REF!</v>
      </c>
      <c r="L27" s="54" t="e">
        <f>IF(#REF!="","",#REF!)</f>
        <v>#REF!</v>
      </c>
      <c r="M27" s="54" t="e">
        <f>IF(#REF!="","",#REF!)</f>
        <v>#REF!</v>
      </c>
      <c r="N27" s="54" t="e">
        <f>IF(#REF!="","",#REF!)</f>
        <v>#REF!</v>
      </c>
      <c r="O27" s="6" t="e">
        <f>IF(#REF!="","",#REF!)</f>
        <v>#REF!</v>
      </c>
      <c r="P27" s="44" t="e">
        <f>IF(#REF!="","",#REF!)</f>
        <v>#REF!</v>
      </c>
      <c r="Q27" s="39"/>
    </row>
    <row r="28" spans="1:17" ht="19.5" customHeight="1">
      <c r="A28" s="2">
        <v>20</v>
      </c>
      <c r="B28" s="43" t="e">
        <f>IF(#REF!="","",#REF!)</f>
        <v>#REF!</v>
      </c>
      <c r="C28" s="43" t="e">
        <f>IF(#REF!="","",#REF!)</f>
        <v>#REF!</v>
      </c>
      <c r="D28" s="43" t="e">
        <f>IF(#REF!="",G28,#REF!)</f>
        <v>#REF!</v>
      </c>
      <c r="E28" s="43" t="e">
        <f>IF(#REF!="",F28,"")</f>
        <v>#REF!</v>
      </c>
      <c r="F28" s="2" t="e">
        <f>IF(#REF!="","",#REF!)</f>
        <v>#REF!</v>
      </c>
      <c r="G28" s="2" t="e">
        <f>IF(#REF!="","",#REF!)</f>
        <v>#REF!</v>
      </c>
      <c r="H28" s="52" t="e">
        <f>IF(#REF!="","",#REF!)</f>
        <v>#REF!</v>
      </c>
      <c r="I28" s="53" t="e">
        <f>IF(#REF!="","",#REF!)</f>
        <v>#REF!</v>
      </c>
      <c r="J28" s="41" t="e">
        <f>IF(#REF!="","",#REF!)</f>
        <v>#REF!</v>
      </c>
      <c r="K28" s="54" t="e">
        <f>IF(#REF!="","",#REF!)</f>
        <v>#REF!</v>
      </c>
      <c r="L28" s="54" t="e">
        <f>IF(#REF!="","",#REF!)</f>
        <v>#REF!</v>
      </c>
      <c r="M28" s="54" t="e">
        <f>IF(#REF!="","",#REF!)</f>
        <v>#REF!</v>
      </c>
      <c r="N28" s="54" t="e">
        <f>IF(#REF!="","",#REF!)</f>
        <v>#REF!</v>
      </c>
      <c r="O28" s="6" t="e">
        <f>IF(#REF!="","",#REF!)</f>
        <v>#REF!</v>
      </c>
      <c r="P28" s="44" t="e">
        <f>IF(#REF!="","",#REF!)</f>
        <v>#REF!</v>
      </c>
      <c r="Q28" s="39"/>
    </row>
    <row r="29" spans="1:17" ht="19.5" customHeight="1">
      <c r="A29" s="2">
        <v>21</v>
      </c>
      <c r="B29" s="43" t="e">
        <f>IF(#REF!="","",#REF!)</f>
        <v>#REF!</v>
      </c>
      <c r="C29" s="43" t="e">
        <f>IF(#REF!="","",#REF!)</f>
        <v>#REF!</v>
      </c>
      <c r="D29" s="43" t="e">
        <f>IF(#REF!="",G29,#REF!)</f>
        <v>#REF!</v>
      </c>
      <c r="E29" s="43" t="e">
        <f>IF(#REF!="",F29,"")</f>
        <v>#REF!</v>
      </c>
      <c r="F29" s="2" t="e">
        <f>IF(#REF!="","",#REF!)</f>
        <v>#REF!</v>
      </c>
      <c r="G29" s="2" t="e">
        <f>IF(#REF!="","",#REF!)</f>
        <v>#REF!</v>
      </c>
      <c r="H29" s="52" t="e">
        <f>IF(#REF!="","",#REF!)</f>
        <v>#REF!</v>
      </c>
      <c r="I29" s="53" t="e">
        <f>IF(#REF!="","",#REF!)</f>
        <v>#REF!</v>
      </c>
      <c r="J29" s="41" t="e">
        <f>IF(#REF!="","",#REF!)</f>
        <v>#REF!</v>
      </c>
      <c r="K29" s="54" t="e">
        <f>IF(#REF!="","",#REF!)</f>
        <v>#REF!</v>
      </c>
      <c r="L29" s="54" t="e">
        <f>IF(#REF!="","",#REF!)</f>
        <v>#REF!</v>
      </c>
      <c r="M29" s="54" t="e">
        <f>IF(#REF!="","",#REF!)</f>
        <v>#REF!</v>
      </c>
      <c r="N29" s="54" t="e">
        <f>IF(#REF!="","",#REF!)</f>
        <v>#REF!</v>
      </c>
      <c r="O29" s="6" t="e">
        <f>IF(#REF!="","",#REF!)</f>
        <v>#REF!</v>
      </c>
      <c r="P29" s="44" t="e">
        <f>IF(#REF!="","",#REF!)</f>
        <v>#REF!</v>
      </c>
      <c r="Q29" s="39"/>
    </row>
    <row r="30" spans="1:17" ht="19.5" customHeight="1">
      <c r="A30" s="2">
        <v>22</v>
      </c>
      <c r="B30" s="43" t="e">
        <f>IF(#REF!="","",#REF!)</f>
        <v>#REF!</v>
      </c>
      <c r="C30" s="43" t="e">
        <f>IF(#REF!="","",#REF!)</f>
        <v>#REF!</v>
      </c>
      <c r="D30" s="43" t="e">
        <f>IF(#REF!="",G30,#REF!)</f>
        <v>#REF!</v>
      </c>
      <c r="E30" s="43" t="e">
        <f>IF(#REF!="",F30,"")</f>
        <v>#REF!</v>
      </c>
      <c r="F30" s="2" t="e">
        <f>IF(#REF!="","",#REF!)</f>
        <v>#REF!</v>
      </c>
      <c r="G30" s="2" t="e">
        <f>IF(#REF!="","",#REF!)</f>
        <v>#REF!</v>
      </c>
      <c r="H30" s="52" t="e">
        <f>IF(#REF!="","",#REF!)</f>
        <v>#REF!</v>
      </c>
      <c r="I30" s="53" t="e">
        <f>IF(#REF!="","",#REF!)</f>
        <v>#REF!</v>
      </c>
      <c r="J30" s="41" t="e">
        <f>IF(#REF!="","",#REF!)</f>
        <v>#REF!</v>
      </c>
      <c r="K30" s="54" t="e">
        <f>IF(#REF!="","",#REF!)</f>
        <v>#REF!</v>
      </c>
      <c r="L30" s="54" t="e">
        <f>IF(#REF!="","",#REF!)</f>
        <v>#REF!</v>
      </c>
      <c r="M30" s="54" t="e">
        <f>IF(#REF!="","",#REF!)</f>
        <v>#REF!</v>
      </c>
      <c r="N30" s="54" t="e">
        <f>IF(#REF!="","",#REF!)</f>
        <v>#REF!</v>
      </c>
      <c r="O30" s="6" t="e">
        <f>IF(#REF!="","",#REF!)</f>
        <v>#REF!</v>
      </c>
      <c r="P30" s="44" t="e">
        <f>IF(#REF!="","",#REF!)</f>
        <v>#REF!</v>
      </c>
      <c r="Q30" s="39"/>
    </row>
    <row r="31" spans="1:17" ht="19.5" customHeight="1">
      <c r="A31" s="2">
        <v>23</v>
      </c>
      <c r="B31" s="43" t="e">
        <f>IF(#REF!="","",#REF!)</f>
        <v>#REF!</v>
      </c>
      <c r="C31" s="43" t="e">
        <f>IF(#REF!="","",#REF!)</f>
        <v>#REF!</v>
      </c>
      <c r="D31" s="43" t="e">
        <f>IF(#REF!="",G31,#REF!)</f>
        <v>#REF!</v>
      </c>
      <c r="E31" s="43" t="e">
        <f>IF(#REF!="",F31,"")</f>
        <v>#REF!</v>
      </c>
      <c r="F31" s="2" t="e">
        <f>IF(#REF!="","",#REF!)</f>
        <v>#REF!</v>
      </c>
      <c r="G31" s="2" t="e">
        <f>IF(#REF!="","",#REF!)</f>
        <v>#REF!</v>
      </c>
      <c r="H31" s="52" t="e">
        <f>IF(#REF!="","",#REF!)</f>
        <v>#REF!</v>
      </c>
      <c r="I31" s="53" t="e">
        <f>IF(#REF!="","",#REF!)</f>
        <v>#REF!</v>
      </c>
      <c r="J31" s="41" t="e">
        <f>IF(#REF!="","",#REF!)</f>
        <v>#REF!</v>
      </c>
      <c r="K31" s="54" t="e">
        <f>IF(#REF!="","",#REF!)</f>
        <v>#REF!</v>
      </c>
      <c r="L31" s="54" t="e">
        <f>IF(#REF!="","",#REF!)</f>
        <v>#REF!</v>
      </c>
      <c r="M31" s="54" t="e">
        <f>IF(#REF!="","",#REF!)</f>
        <v>#REF!</v>
      </c>
      <c r="N31" s="54" t="e">
        <f>IF(#REF!="","",#REF!)</f>
        <v>#REF!</v>
      </c>
      <c r="O31" s="6" t="e">
        <f>IF(#REF!="","",#REF!)</f>
        <v>#REF!</v>
      </c>
      <c r="P31" s="44" t="e">
        <f>IF(#REF!="","",#REF!)</f>
        <v>#REF!</v>
      </c>
      <c r="Q31" s="39"/>
    </row>
    <row r="32" spans="1:17" ht="19.5" customHeight="1">
      <c r="A32" s="2">
        <v>24</v>
      </c>
      <c r="B32" s="43" t="e">
        <f>IF(#REF!="","",#REF!)</f>
        <v>#REF!</v>
      </c>
      <c r="C32" s="43" t="e">
        <f>IF(#REF!="","",#REF!)</f>
        <v>#REF!</v>
      </c>
      <c r="D32" s="43" t="e">
        <f>IF(#REF!="",G32,#REF!)</f>
        <v>#REF!</v>
      </c>
      <c r="E32" s="43" t="e">
        <f>IF(#REF!="",F32,"")</f>
        <v>#REF!</v>
      </c>
      <c r="F32" s="2" t="e">
        <f>IF(#REF!="","",#REF!)</f>
        <v>#REF!</v>
      </c>
      <c r="G32" s="2" t="e">
        <f>IF(#REF!="","",#REF!)</f>
        <v>#REF!</v>
      </c>
      <c r="H32" s="52" t="e">
        <f>IF(#REF!="","",#REF!)</f>
        <v>#REF!</v>
      </c>
      <c r="I32" s="53" t="e">
        <f>IF(#REF!="","",#REF!)</f>
        <v>#REF!</v>
      </c>
      <c r="J32" s="41" t="e">
        <f>IF(#REF!="","",#REF!)</f>
        <v>#REF!</v>
      </c>
      <c r="K32" s="54" t="e">
        <f>IF(#REF!="","",#REF!)</f>
        <v>#REF!</v>
      </c>
      <c r="L32" s="54" t="e">
        <f>IF(#REF!="","",#REF!)</f>
        <v>#REF!</v>
      </c>
      <c r="M32" s="54" t="e">
        <f>IF(#REF!="","",#REF!)</f>
        <v>#REF!</v>
      </c>
      <c r="N32" s="54" t="e">
        <f>IF(#REF!="","",#REF!)</f>
        <v>#REF!</v>
      </c>
      <c r="O32" s="6" t="e">
        <f>IF(#REF!="","",#REF!)</f>
        <v>#REF!</v>
      </c>
      <c r="P32" s="44" t="e">
        <f>IF(#REF!="","",#REF!)</f>
        <v>#REF!</v>
      </c>
      <c r="Q32" s="39"/>
    </row>
    <row r="33" spans="1:17" ht="19.5" customHeight="1">
      <c r="A33" s="2">
        <v>25</v>
      </c>
      <c r="B33" s="43" t="e">
        <f>IF(#REF!="","",#REF!)</f>
        <v>#REF!</v>
      </c>
      <c r="C33" s="43" t="e">
        <f>IF(#REF!="","",#REF!)</f>
        <v>#REF!</v>
      </c>
      <c r="D33" s="43" t="e">
        <f>IF(#REF!="",G33,#REF!)</f>
        <v>#REF!</v>
      </c>
      <c r="E33" s="43" t="e">
        <f>IF(#REF!="",F33,"")</f>
        <v>#REF!</v>
      </c>
      <c r="F33" s="2" t="e">
        <f>IF(#REF!="","",#REF!)</f>
        <v>#REF!</v>
      </c>
      <c r="G33" s="2" t="e">
        <f>IF(#REF!="","",#REF!)</f>
        <v>#REF!</v>
      </c>
      <c r="H33" s="52" t="e">
        <f>IF(#REF!="","",#REF!)</f>
        <v>#REF!</v>
      </c>
      <c r="I33" s="53" t="e">
        <f>IF(#REF!="","",#REF!)</f>
        <v>#REF!</v>
      </c>
      <c r="J33" s="41" t="e">
        <f>IF(#REF!="","",#REF!)</f>
        <v>#REF!</v>
      </c>
      <c r="K33" s="54" t="e">
        <f>IF(#REF!="","",#REF!)</f>
        <v>#REF!</v>
      </c>
      <c r="L33" s="54" t="e">
        <f>IF(#REF!="","",#REF!)</f>
        <v>#REF!</v>
      </c>
      <c r="M33" s="54" t="e">
        <f>IF(#REF!="","",#REF!)</f>
        <v>#REF!</v>
      </c>
      <c r="N33" s="54" t="e">
        <f>IF(#REF!="","",#REF!)</f>
        <v>#REF!</v>
      </c>
      <c r="O33" s="6" t="e">
        <f>IF(#REF!="","",#REF!)</f>
        <v>#REF!</v>
      </c>
      <c r="P33" s="44" t="e">
        <f>IF(#REF!="","",#REF!)</f>
        <v>#REF!</v>
      </c>
      <c r="Q33" s="39"/>
    </row>
    <row r="34" spans="1:17" ht="19.5" customHeight="1">
      <c r="A34" s="2">
        <v>26</v>
      </c>
      <c r="B34" s="43" t="e">
        <f>IF(#REF!="","",#REF!)</f>
        <v>#REF!</v>
      </c>
      <c r="C34" s="43" t="e">
        <f>IF(#REF!="","",#REF!)</f>
        <v>#REF!</v>
      </c>
      <c r="D34" s="43" t="e">
        <f>IF(#REF!="",G34,#REF!)</f>
        <v>#REF!</v>
      </c>
      <c r="E34" s="43" t="e">
        <f>IF(#REF!="",F34,"")</f>
        <v>#REF!</v>
      </c>
      <c r="F34" s="2" t="e">
        <f>IF(#REF!="","",#REF!)</f>
        <v>#REF!</v>
      </c>
      <c r="G34" s="2" t="e">
        <f>IF(#REF!="","",#REF!)</f>
        <v>#REF!</v>
      </c>
      <c r="H34" s="52" t="e">
        <f>IF(#REF!="","",#REF!)</f>
        <v>#REF!</v>
      </c>
      <c r="I34" s="53" t="e">
        <f>IF(#REF!="","",#REF!)</f>
        <v>#REF!</v>
      </c>
      <c r="J34" s="41" t="e">
        <f>IF(#REF!="","",#REF!)</f>
        <v>#REF!</v>
      </c>
      <c r="K34" s="54" t="e">
        <f>IF(#REF!="","",#REF!)</f>
        <v>#REF!</v>
      </c>
      <c r="L34" s="54" t="e">
        <f>IF(#REF!="","",#REF!)</f>
        <v>#REF!</v>
      </c>
      <c r="M34" s="54" t="e">
        <f>IF(#REF!="","",#REF!)</f>
        <v>#REF!</v>
      </c>
      <c r="N34" s="54" t="e">
        <f>IF(#REF!="","",#REF!)</f>
        <v>#REF!</v>
      </c>
      <c r="O34" s="6" t="e">
        <f>IF(#REF!="","",#REF!)</f>
        <v>#REF!</v>
      </c>
      <c r="P34" s="44" t="e">
        <f>IF(#REF!="","",#REF!)</f>
        <v>#REF!</v>
      </c>
      <c r="Q34" s="39"/>
    </row>
    <row r="35" spans="1:17" ht="19.5" customHeight="1">
      <c r="A35" s="2">
        <v>27</v>
      </c>
      <c r="B35" s="43" t="e">
        <f>IF(#REF!="","",#REF!)</f>
        <v>#REF!</v>
      </c>
      <c r="C35" s="43" t="e">
        <f>IF(#REF!="","",#REF!)</f>
        <v>#REF!</v>
      </c>
      <c r="D35" s="43" t="e">
        <f>IF(#REF!="",G35,#REF!)</f>
        <v>#REF!</v>
      </c>
      <c r="E35" s="43" t="e">
        <f>IF(#REF!="",F35,"")</f>
        <v>#REF!</v>
      </c>
      <c r="F35" s="2" t="e">
        <f>IF(#REF!="","",#REF!)</f>
        <v>#REF!</v>
      </c>
      <c r="G35" s="2" t="e">
        <f>IF(#REF!="","",#REF!)</f>
        <v>#REF!</v>
      </c>
      <c r="H35" s="52" t="e">
        <f>IF(#REF!="","",#REF!)</f>
        <v>#REF!</v>
      </c>
      <c r="I35" s="53" t="e">
        <f>IF(#REF!="","",#REF!)</f>
        <v>#REF!</v>
      </c>
      <c r="J35" s="41" t="e">
        <f>IF(#REF!="","",#REF!)</f>
        <v>#REF!</v>
      </c>
      <c r="K35" s="54" t="e">
        <f>IF(#REF!="","",#REF!)</f>
        <v>#REF!</v>
      </c>
      <c r="L35" s="54" t="e">
        <f>IF(#REF!="","",#REF!)</f>
        <v>#REF!</v>
      </c>
      <c r="M35" s="54" t="e">
        <f>IF(#REF!="","",#REF!)</f>
        <v>#REF!</v>
      </c>
      <c r="N35" s="54" t="e">
        <f>IF(#REF!="","",#REF!)</f>
        <v>#REF!</v>
      </c>
      <c r="O35" s="6" t="e">
        <f>IF(#REF!="","",#REF!)</f>
        <v>#REF!</v>
      </c>
      <c r="P35" s="44" t="e">
        <f>IF(#REF!="","",#REF!)</f>
        <v>#REF!</v>
      </c>
      <c r="Q35" s="39"/>
    </row>
    <row r="36" spans="1:17" ht="19.5" customHeight="1">
      <c r="A36" s="2">
        <v>28</v>
      </c>
      <c r="B36" s="43" t="e">
        <f>IF(#REF!="","",#REF!)</f>
        <v>#REF!</v>
      </c>
      <c r="C36" s="43" t="e">
        <f>IF(#REF!="","",#REF!)</f>
        <v>#REF!</v>
      </c>
      <c r="D36" s="43" t="e">
        <f>IF(#REF!="",G36,#REF!)</f>
        <v>#REF!</v>
      </c>
      <c r="E36" s="43" t="e">
        <f>IF(#REF!="",F36,"")</f>
        <v>#REF!</v>
      </c>
      <c r="F36" s="2" t="e">
        <f>IF(#REF!="","",#REF!)</f>
        <v>#REF!</v>
      </c>
      <c r="G36" s="2" t="e">
        <f>IF(#REF!="","",#REF!)</f>
        <v>#REF!</v>
      </c>
      <c r="H36" s="52" t="e">
        <f>IF(#REF!="","",#REF!)</f>
        <v>#REF!</v>
      </c>
      <c r="I36" s="53" t="e">
        <f>IF(#REF!="","",#REF!)</f>
        <v>#REF!</v>
      </c>
      <c r="J36" s="41" t="e">
        <f>IF(#REF!="","",#REF!)</f>
        <v>#REF!</v>
      </c>
      <c r="K36" s="54" t="e">
        <f>IF(#REF!="","",#REF!)</f>
        <v>#REF!</v>
      </c>
      <c r="L36" s="54" t="e">
        <f>IF(#REF!="","",#REF!)</f>
        <v>#REF!</v>
      </c>
      <c r="M36" s="54" t="e">
        <f>IF(#REF!="","",#REF!)</f>
        <v>#REF!</v>
      </c>
      <c r="N36" s="54" t="e">
        <f>IF(#REF!="","",#REF!)</f>
        <v>#REF!</v>
      </c>
      <c r="O36" s="6" t="e">
        <f>IF(#REF!="","",#REF!)</f>
        <v>#REF!</v>
      </c>
      <c r="P36" s="44" t="e">
        <f>IF(#REF!="","",#REF!)</f>
        <v>#REF!</v>
      </c>
      <c r="Q36" s="39"/>
    </row>
    <row r="37" spans="1:17" ht="17.25">
      <c r="A37" s="5"/>
      <c r="B37" s="5" t="s">
        <v>32</v>
      </c>
      <c r="C37" s="5"/>
      <c r="D37" s="5"/>
      <c r="E37" s="5"/>
      <c r="F37" s="5"/>
      <c r="G37" s="5"/>
      <c r="H37" s="11"/>
      <c r="I37" s="11"/>
      <c r="J37" s="24"/>
      <c r="K37" s="33"/>
      <c r="L37" s="38"/>
      <c r="M37" s="11"/>
      <c r="N37" s="11"/>
      <c r="O37" s="11"/>
      <c r="P37" s="11"/>
    </row>
    <row r="38" spans="1:17" ht="17.25">
      <c r="A38" s="5"/>
      <c r="B38" s="5" t="s">
        <v>33</v>
      </c>
      <c r="C38" s="5"/>
      <c r="D38" s="5"/>
      <c r="E38" s="5"/>
      <c r="F38" s="5"/>
      <c r="G38" s="5"/>
      <c r="H38" s="11"/>
      <c r="I38" s="11"/>
      <c r="J38" s="24"/>
      <c r="K38" s="33"/>
      <c r="L38" s="38"/>
      <c r="M38" s="11"/>
      <c r="N38" s="11"/>
      <c r="O38" s="11"/>
      <c r="P38" s="11"/>
    </row>
    <row r="39" spans="1:17" ht="33" customHeight="1">
      <c r="A39" s="5"/>
      <c r="B39" s="5"/>
      <c r="C39" s="5"/>
      <c r="D39" s="5"/>
      <c r="E39" s="5"/>
      <c r="F39" s="5"/>
      <c r="G39" s="5"/>
      <c r="H39" s="11"/>
      <c r="I39" s="11"/>
      <c r="J39" s="24"/>
      <c r="K39" s="33"/>
      <c r="L39" s="38"/>
      <c r="M39" s="11"/>
      <c r="N39" s="11"/>
      <c r="O39" s="25" t="s">
        <v>34</v>
      </c>
      <c r="P39" s="25"/>
    </row>
    <row r="40" spans="1:17" ht="18.75">
      <c r="A40" s="14"/>
      <c r="B40" s="50" t="e">
        <f>#REF!</f>
        <v>#REF!</v>
      </c>
      <c r="C40" s="49"/>
      <c r="D40" s="14"/>
      <c r="E40" s="189" t="s">
        <v>35</v>
      </c>
      <c r="F40" s="189"/>
      <c r="G40" s="5"/>
      <c r="H40" s="11"/>
      <c r="I40" s="11"/>
      <c r="J40" s="5"/>
      <c r="K40" s="33"/>
      <c r="L40" s="38"/>
      <c r="M40" s="11"/>
      <c r="N40" s="14"/>
      <c r="O40" s="26" t="s">
        <v>36</v>
      </c>
      <c r="P40" s="26"/>
    </row>
    <row r="41" spans="1:17" ht="20.100000000000001" customHeight="1">
      <c r="B41" s="51" t="e">
        <f>#REF!</f>
        <v>#REF!</v>
      </c>
      <c r="Q41" s="5"/>
    </row>
  </sheetData>
  <mergeCells count="6">
    <mergeCell ref="E40:F40"/>
    <mergeCell ref="J1:L1"/>
    <mergeCell ref="D4:D5"/>
    <mergeCell ref="D6:D7"/>
    <mergeCell ref="D8:E8"/>
    <mergeCell ref="K8:M8"/>
  </mergeCells>
  <phoneticPr fontId="8"/>
  <pageMargins left="0.19685039370078741" right="0.19685039370078741" top="0.78740157480314965" bottom="0.19685039370078741" header="0.51181102362204722" footer="0.51181102362204722"/>
  <pageSetup paperSize="9" scale="46" orientation="landscape" horizontalDpi="4294967293" verticalDpi="200" r:id="rId1"/>
  <headerFooter alignWithMargins="0">
    <oddHeader>&amp;R&amp;6 SMR-01-030 (SMN) Sheet1_x000D_Revision: 5_x000D_Page: &amp;P of &amp;N_x000D_Date: 2024/04/01&amp;</oddHeader>
    <oddFooter>&amp;R&amp;8 NS UNITED KAIUN KAISHA, LTD.</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428"/>
  <sheetViews>
    <sheetView topLeftCell="A67" zoomScale="85" zoomScaleNormal="85" zoomScaleSheetLayoutView="85" workbookViewId="0">
      <selection activeCell="D25" sqref="D25"/>
    </sheetView>
  </sheetViews>
  <sheetFormatPr defaultColWidth="9" defaultRowHeight="15"/>
  <cols>
    <col min="1" max="1" width="2.125" style="92" customWidth="1"/>
    <col min="2" max="2" width="3.125" style="92" customWidth="1"/>
    <col min="3" max="3" width="64.625" style="109" customWidth="1"/>
    <col min="4" max="4" width="41.5" style="107" bestFit="1" customWidth="1"/>
    <col min="5" max="5" width="81.125" style="92" bestFit="1" customWidth="1"/>
    <col min="6" max="16384" width="9" style="92"/>
  </cols>
  <sheetData>
    <row r="1" spans="1:4" ht="18" customHeight="1">
      <c r="C1" s="109" t="s">
        <v>262</v>
      </c>
    </row>
    <row r="2" spans="1:4" ht="18" customHeight="1"/>
    <row r="3" spans="1:4" s="105" customFormat="1" ht="20.25">
      <c r="A3" s="92"/>
      <c r="B3" s="92"/>
      <c r="C3" s="205" t="s">
        <v>249</v>
      </c>
      <c r="D3" s="205"/>
    </row>
    <row r="4" spans="1:4" s="105" customFormat="1" ht="18" customHeight="1">
      <c r="A4" s="92"/>
      <c r="B4" s="92"/>
      <c r="C4" s="206" t="s">
        <v>250</v>
      </c>
      <c r="D4" s="206"/>
    </row>
    <row r="5" spans="1:4" ht="18" customHeight="1">
      <c r="C5" s="206" t="s">
        <v>242</v>
      </c>
      <c r="D5" s="206"/>
    </row>
    <row r="6" spans="1:4" ht="18" customHeight="1">
      <c r="C6" s="205" t="s">
        <v>251</v>
      </c>
      <c r="D6" s="205"/>
    </row>
    <row r="7" spans="1:4" ht="18" customHeight="1">
      <c r="C7" s="205" t="s">
        <v>260</v>
      </c>
      <c r="D7" s="205"/>
    </row>
    <row r="8" spans="1:4" ht="18" customHeight="1">
      <c r="C8" s="92"/>
    </row>
    <row r="9" spans="1:4" ht="18" customHeight="1">
      <c r="C9" s="109" t="s">
        <v>209</v>
      </c>
    </row>
    <row r="10" spans="1:4" ht="18" customHeight="1">
      <c r="A10" s="105"/>
      <c r="B10" s="105"/>
      <c r="C10" s="110" t="s">
        <v>122</v>
      </c>
      <c r="D10" s="101"/>
    </row>
    <row r="11" spans="1:4" ht="20.25">
      <c r="A11" s="105"/>
      <c r="B11" s="200" t="s">
        <v>123</v>
      </c>
      <c r="C11" s="201"/>
      <c r="D11" s="106" t="s">
        <v>124</v>
      </c>
    </row>
    <row r="12" spans="1:4">
      <c r="B12" s="111" t="s">
        <v>119</v>
      </c>
      <c r="C12" s="112"/>
      <c r="D12" s="108"/>
    </row>
    <row r="13" spans="1:4">
      <c r="B13" s="111"/>
      <c r="C13" s="112" t="s">
        <v>149</v>
      </c>
      <c r="D13" s="108"/>
    </row>
    <row r="14" spans="1:4">
      <c r="B14" s="111"/>
      <c r="C14" s="112"/>
      <c r="D14" s="108"/>
    </row>
    <row r="15" spans="1:4">
      <c r="B15" s="111" t="s">
        <v>117</v>
      </c>
      <c r="C15" s="112"/>
      <c r="D15" s="108"/>
    </row>
    <row r="16" spans="1:4">
      <c r="B16" s="111"/>
      <c r="C16" s="112" t="s">
        <v>150</v>
      </c>
      <c r="D16" s="108"/>
    </row>
    <row r="17" spans="2:4">
      <c r="B17" s="111"/>
      <c r="C17" s="112"/>
      <c r="D17" s="108"/>
    </row>
    <row r="18" spans="2:4">
      <c r="B18" s="111" t="s">
        <v>116</v>
      </c>
      <c r="C18" s="112"/>
      <c r="D18" s="108"/>
    </row>
    <row r="19" spans="2:4">
      <c r="B19" s="111"/>
      <c r="C19" s="112" t="s">
        <v>151</v>
      </c>
      <c r="D19" s="108"/>
    </row>
    <row r="20" spans="2:4">
      <c r="B20" s="111"/>
      <c r="C20" s="112"/>
      <c r="D20" s="108"/>
    </row>
    <row r="21" spans="2:4">
      <c r="B21" s="111" t="s">
        <v>118</v>
      </c>
      <c r="C21" s="112"/>
      <c r="D21" s="108" t="s">
        <v>126</v>
      </c>
    </row>
    <row r="22" spans="2:4">
      <c r="B22" s="111"/>
      <c r="C22" s="112" t="s">
        <v>173</v>
      </c>
      <c r="D22" s="108"/>
    </row>
    <row r="23" spans="2:4">
      <c r="B23" s="111"/>
      <c r="C23" s="112"/>
      <c r="D23" s="108"/>
    </row>
    <row r="24" spans="2:4">
      <c r="B24" s="111"/>
      <c r="C24" s="112"/>
      <c r="D24" s="108"/>
    </row>
    <row r="25" spans="2:4">
      <c r="B25" s="111" t="s">
        <v>120</v>
      </c>
      <c r="C25" s="112"/>
      <c r="D25" s="108" t="s">
        <v>128</v>
      </c>
    </row>
    <row r="26" spans="2:4">
      <c r="B26" s="111"/>
      <c r="C26" s="112" t="s">
        <v>174</v>
      </c>
      <c r="D26" s="108"/>
    </row>
    <row r="27" spans="2:4">
      <c r="B27" s="111"/>
      <c r="C27" s="112"/>
      <c r="D27" s="108"/>
    </row>
    <row r="28" spans="2:4">
      <c r="B28" s="111" t="s">
        <v>121</v>
      </c>
      <c r="C28" s="112"/>
      <c r="D28" s="108" t="s">
        <v>126</v>
      </c>
    </row>
    <row r="29" spans="2:4">
      <c r="B29" s="111"/>
      <c r="C29" s="112" t="s">
        <v>175</v>
      </c>
      <c r="D29" s="108"/>
    </row>
    <row r="30" spans="2:4">
      <c r="B30" s="111"/>
      <c r="C30" s="112"/>
      <c r="D30" s="108"/>
    </row>
    <row r="31" spans="2:4">
      <c r="B31" s="111" t="s">
        <v>127</v>
      </c>
      <c r="C31" s="112"/>
      <c r="D31" s="108"/>
    </row>
    <row r="32" spans="2:4">
      <c r="B32" s="111"/>
      <c r="C32" s="112" t="s">
        <v>176</v>
      </c>
      <c r="D32" s="108" t="s">
        <v>168</v>
      </c>
    </row>
    <row r="33" spans="2:4">
      <c r="B33" s="111"/>
      <c r="C33" s="112"/>
      <c r="D33" s="108"/>
    </row>
    <row r="34" spans="2:4">
      <c r="B34" s="111" t="s">
        <v>245</v>
      </c>
      <c r="C34" s="112"/>
      <c r="D34" s="108" t="s">
        <v>129</v>
      </c>
    </row>
    <row r="35" spans="2:4" ht="30">
      <c r="B35" s="111"/>
      <c r="C35" s="112" t="s">
        <v>177</v>
      </c>
      <c r="D35" s="108" t="s">
        <v>130</v>
      </c>
    </row>
    <row r="36" spans="2:4">
      <c r="B36" s="111"/>
      <c r="C36" s="112" t="s">
        <v>152</v>
      </c>
      <c r="D36" s="108" t="s">
        <v>131</v>
      </c>
    </row>
    <row r="37" spans="2:4">
      <c r="B37" s="111"/>
      <c r="C37" s="112" t="s">
        <v>153</v>
      </c>
      <c r="D37" s="108" t="s">
        <v>163</v>
      </c>
    </row>
    <row r="38" spans="2:4">
      <c r="B38" s="111"/>
      <c r="C38" s="112"/>
      <c r="D38" s="108" t="s">
        <v>192</v>
      </c>
    </row>
    <row r="39" spans="2:4">
      <c r="B39" s="111"/>
      <c r="C39" s="112"/>
      <c r="D39" s="108"/>
    </row>
    <row r="40" spans="2:4">
      <c r="B40" s="111" t="s">
        <v>246</v>
      </c>
      <c r="C40" s="112"/>
      <c r="D40" s="108" t="s">
        <v>132</v>
      </c>
    </row>
    <row r="41" spans="2:4">
      <c r="B41" s="111"/>
      <c r="C41" s="112" t="s">
        <v>261</v>
      </c>
      <c r="D41" s="108" t="s">
        <v>258</v>
      </c>
    </row>
    <row r="42" spans="2:4">
      <c r="B42" s="111"/>
      <c r="C42" s="112"/>
      <c r="D42" s="108" t="s">
        <v>259</v>
      </c>
    </row>
    <row r="43" spans="2:4">
      <c r="B43" s="111"/>
      <c r="C43" s="112"/>
      <c r="D43" s="108"/>
    </row>
    <row r="44" spans="2:4">
      <c r="B44" s="111" t="s">
        <v>247</v>
      </c>
      <c r="C44" s="112"/>
      <c r="D44" s="108" t="s">
        <v>125</v>
      </c>
    </row>
    <row r="45" spans="2:4">
      <c r="B45" s="111"/>
      <c r="C45" s="112" t="s">
        <v>244</v>
      </c>
      <c r="D45" s="108" t="s">
        <v>253</v>
      </c>
    </row>
    <row r="46" spans="2:4">
      <c r="B46" s="111"/>
      <c r="C46" s="112" t="s">
        <v>252</v>
      </c>
      <c r="D46" s="108" t="s">
        <v>254</v>
      </c>
    </row>
    <row r="47" spans="2:4">
      <c r="B47" s="111"/>
      <c r="C47" s="112"/>
      <c r="D47" s="108"/>
    </row>
    <row r="48" spans="2:4">
      <c r="B48" s="111"/>
      <c r="C48" s="112"/>
      <c r="D48" s="115"/>
    </row>
    <row r="49" spans="2:4">
      <c r="B49" s="111" t="s">
        <v>248</v>
      </c>
      <c r="C49" s="112"/>
      <c r="D49" s="108" t="s">
        <v>182</v>
      </c>
    </row>
    <row r="50" spans="2:4">
      <c r="B50" s="111"/>
      <c r="C50" s="112" t="s">
        <v>179</v>
      </c>
      <c r="D50" s="108"/>
    </row>
    <row r="51" spans="2:4" ht="30">
      <c r="B51" s="111"/>
      <c r="C51" s="112" t="s">
        <v>180</v>
      </c>
      <c r="D51" s="108"/>
    </row>
    <row r="52" spans="2:4" ht="30">
      <c r="B52" s="111"/>
      <c r="C52" s="109" t="s">
        <v>181</v>
      </c>
      <c r="D52" s="108"/>
    </row>
    <row r="53" spans="2:4">
      <c r="B53" s="111"/>
      <c r="D53" s="108"/>
    </row>
    <row r="54" spans="2:4">
      <c r="B54" s="111"/>
      <c r="D54" s="108"/>
    </row>
    <row r="55" spans="2:4">
      <c r="B55" s="111"/>
      <c r="D55" s="108"/>
    </row>
    <row r="56" spans="2:4">
      <c r="B56" s="113"/>
      <c r="C56" s="118"/>
      <c r="D56" s="73"/>
    </row>
    <row r="57" spans="2:4">
      <c r="B57" s="202">
        <v>1</v>
      </c>
      <c r="C57" s="202"/>
      <c r="D57" s="202"/>
    </row>
    <row r="58" spans="2:4">
      <c r="C58" s="109" t="s">
        <v>262</v>
      </c>
    </row>
    <row r="60" spans="2:4" ht="40.5">
      <c r="C60" s="110" t="s">
        <v>135</v>
      </c>
      <c r="D60" s="101"/>
    </row>
    <row r="61" spans="2:4" ht="20.25">
      <c r="B61" s="200" t="s">
        <v>123</v>
      </c>
      <c r="C61" s="201"/>
      <c r="D61" s="106" t="s">
        <v>124</v>
      </c>
    </row>
    <row r="62" spans="2:4">
      <c r="B62" s="111" t="s">
        <v>136</v>
      </c>
      <c r="C62" s="112"/>
      <c r="D62" s="108"/>
    </row>
    <row r="63" spans="2:4">
      <c r="B63" s="111"/>
      <c r="C63" s="112" t="s">
        <v>154</v>
      </c>
      <c r="D63" s="108"/>
    </row>
    <row r="64" spans="2:4">
      <c r="B64" s="111"/>
      <c r="C64" s="112"/>
      <c r="D64" s="108"/>
    </row>
    <row r="65" spans="2:4">
      <c r="B65" s="111" t="s">
        <v>137</v>
      </c>
      <c r="C65" s="112"/>
      <c r="D65" s="108"/>
    </row>
    <row r="66" spans="2:4">
      <c r="B66" s="111"/>
      <c r="C66" s="112" t="s">
        <v>154</v>
      </c>
      <c r="D66" s="108"/>
    </row>
    <row r="67" spans="2:4">
      <c r="B67" s="111"/>
      <c r="C67" s="112"/>
      <c r="D67" s="108"/>
    </row>
    <row r="68" spans="2:4">
      <c r="B68" s="111"/>
      <c r="C68" s="112"/>
      <c r="D68" s="108"/>
    </row>
    <row r="69" spans="2:4">
      <c r="B69" s="111" t="s">
        <v>138</v>
      </c>
      <c r="C69" s="112"/>
      <c r="D69" s="108"/>
    </row>
    <row r="70" spans="2:4">
      <c r="B70" s="111"/>
      <c r="C70" s="112" t="s">
        <v>154</v>
      </c>
      <c r="D70" s="108"/>
    </row>
    <row r="71" spans="2:4">
      <c r="B71" s="111"/>
      <c r="C71" s="112"/>
      <c r="D71" s="108"/>
    </row>
    <row r="72" spans="2:4">
      <c r="B72" s="111" t="s">
        <v>210</v>
      </c>
      <c r="C72" s="112"/>
      <c r="D72" s="108" t="s">
        <v>211</v>
      </c>
    </row>
    <row r="73" spans="2:4">
      <c r="B73" s="111"/>
      <c r="C73" s="112" t="s">
        <v>212</v>
      </c>
      <c r="D73" s="108"/>
    </row>
    <row r="74" spans="2:4">
      <c r="B74" s="111"/>
      <c r="C74" s="112" t="s">
        <v>213</v>
      </c>
      <c r="D74" s="108"/>
    </row>
    <row r="75" spans="2:4">
      <c r="B75" s="111"/>
      <c r="C75" s="124" t="s">
        <v>214</v>
      </c>
      <c r="D75" s="108"/>
    </row>
    <row r="76" spans="2:4">
      <c r="B76" s="111"/>
      <c r="C76" s="112" t="s">
        <v>215</v>
      </c>
      <c r="D76" s="108"/>
    </row>
    <row r="77" spans="2:4">
      <c r="B77" s="111"/>
      <c r="C77" s="112" t="s">
        <v>216</v>
      </c>
      <c r="D77" s="108"/>
    </row>
    <row r="78" spans="2:4">
      <c r="B78" s="111"/>
      <c r="C78" s="112"/>
      <c r="D78" s="108"/>
    </row>
    <row r="79" spans="2:4">
      <c r="B79" s="111" t="s">
        <v>139</v>
      </c>
      <c r="C79" s="112"/>
      <c r="D79" s="108" t="s">
        <v>202</v>
      </c>
    </row>
    <row r="80" spans="2:4">
      <c r="B80" s="111"/>
      <c r="C80" s="112" t="s">
        <v>203</v>
      </c>
      <c r="D80" s="108"/>
    </row>
    <row r="81" spans="2:4">
      <c r="B81" s="111"/>
      <c r="C81" s="112" t="s">
        <v>204</v>
      </c>
      <c r="D81" s="108"/>
    </row>
    <row r="82" spans="2:4">
      <c r="B82" s="111"/>
      <c r="C82" s="112"/>
      <c r="D82" s="108"/>
    </row>
    <row r="83" spans="2:4">
      <c r="B83" s="111" t="s">
        <v>263</v>
      </c>
      <c r="C83" s="112"/>
      <c r="D83" s="108" t="s">
        <v>125</v>
      </c>
    </row>
    <row r="84" spans="2:4">
      <c r="B84" s="111"/>
      <c r="C84" s="112" t="s">
        <v>205</v>
      </c>
      <c r="D84" s="108"/>
    </row>
    <row r="85" spans="2:4">
      <c r="B85" s="111"/>
      <c r="C85" s="112"/>
      <c r="D85" s="108"/>
    </row>
    <row r="86" spans="2:4">
      <c r="B86" s="203" t="s">
        <v>184</v>
      </c>
      <c r="C86" s="204"/>
      <c r="D86" s="108" t="s">
        <v>264</v>
      </c>
    </row>
    <row r="87" spans="2:4">
      <c r="B87" s="111"/>
      <c r="C87" s="112" t="s">
        <v>206</v>
      </c>
      <c r="D87" s="108" t="s">
        <v>255</v>
      </c>
    </row>
    <row r="88" spans="2:4">
      <c r="B88" s="111"/>
      <c r="C88" s="112"/>
      <c r="D88" s="108"/>
    </row>
    <row r="89" spans="2:4">
      <c r="B89" s="111" t="s">
        <v>185</v>
      </c>
      <c r="C89" s="112"/>
      <c r="D89" s="108" t="s">
        <v>265</v>
      </c>
    </row>
    <row r="90" spans="2:4">
      <c r="B90" s="111"/>
      <c r="C90" s="112" t="s">
        <v>207</v>
      </c>
      <c r="D90" s="108" t="s">
        <v>256</v>
      </c>
    </row>
    <row r="91" spans="2:4">
      <c r="B91" s="111"/>
      <c r="C91" s="112"/>
      <c r="D91" s="108"/>
    </row>
    <row r="92" spans="2:4">
      <c r="B92" s="111" t="s">
        <v>183</v>
      </c>
      <c r="C92" s="112"/>
      <c r="D92" s="108" t="s">
        <v>194</v>
      </c>
    </row>
    <row r="93" spans="2:4">
      <c r="B93" s="111"/>
      <c r="C93" s="112" t="s">
        <v>193</v>
      </c>
      <c r="D93" s="108" t="s">
        <v>186</v>
      </c>
    </row>
    <row r="94" spans="2:4">
      <c r="B94" s="111"/>
      <c r="C94" s="112"/>
      <c r="D94" s="108"/>
    </row>
    <row r="95" spans="2:4">
      <c r="B95" s="203" t="s">
        <v>187</v>
      </c>
      <c r="C95" s="204"/>
      <c r="D95" s="108" t="s">
        <v>133</v>
      </c>
    </row>
    <row r="96" spans="2:4" ht="30">
      <c r="B96" s="111"/>
      <c r="C96" s="112" t="s">
        <v>266</v>
      </c>
      <c r="D96" s="108" t="s">
        <v>134</v>
      </c>
    </row>
    <row r="97" spans="2:4">
      <c r="B97" s="111"/>
      <c r="C97" s="112" t="s">
        <v>155</v>
      </c>
      <c r="D97" s="108"/>
    </row>
    <row r="98" spans="2:4" ht="30">
      <c r="B98" s="111"/>
      <c r="C98" s="112" t="s">
        <v>188</v>
      </c>
      <c r="D98" s="108"/>
    </row>
    <row r="99" spans="2:4">
      <c r="B99" s="111"/>
      <c r="C99" s="112" t="s">
        <v>189</v>
      </c>
      <c r="D99" s="108"/>
    </row>
    <row r="100" spans="2:4">
      <c r="B100" s="111"/>
      <c r="C100" s="112"/>
      <c r="D100" s="108"/>
    </row>
    <row r="101" spans="2:4">
      <c r="B101" s="111"/>
      <c r="C101" s="112"/>
      <c r="D101" s="108"/>
    </row>
    <row r="102" spans="2:4">
      <c r="B102" s="111"/>
      <c r="C102" s="112"/>
      <c r="D102" s="108"/>
    </row>
    <row r="103" spans="2:4">
      <c r="B103" s="111"/>
      <c r="C103" s="112"/>
      <c r="D103" s="108"/>
    </row>
    <row r="104" spans="2:4">
      <c r="B104" s="113"/>
      <c r="C104" s="114"/>
      <c r="D104" s="73"/>
    </row>
    <row r="105" spans="2:4">
      <c r="B105" s="202">
        <v>2</v>
      </c>
      <c r="C105" s="202"/>
      <c r="D105" s="202"/>
    </row>
    <row r="106" spans="2:4">
      <c r="C106" s="109" t="s">
        <v>262</v>
      </c>
    </row>
    <row r="108" spans="2:4" ht="20.25">
      <c r="C108" s="110" t="s">
        <v>156</v>
      </c>
      <c r="D108" s="101"/>
    </row>
    <row r="109" spans="2:4" ht="20.25">
      <c r="B109" s="200" t="s">
        <v>123</v>
      </c>
      <c r="C109" s="201"/>
      <c r="D109" s="106" t="s">
        <v>124</v>
      </c>
    </row>
    <row r="110" spans="2:4">
      <c r="B110" s="111" t="s">
        <v>157</v>
      </c>
      <c r="C110" s="112"/>
      <c r="D110" s="130"/>
    </row>
    <row r="111" spans="2:4">
      <c r="B111" s="111"/>
      <c r="C111" s="112" t="s">
        <v>222</v>
      </c>
      <c r="D111" s="108"/>
    </row>
    <row r="112" spans="2:4">
      <c r="B112" s="111"/>
      <c r="C112" s="112"/>
      <c r="D112" s="108"/>
    </row>
    <row r="113" spans="2:4">
      <c r="B113" s="111" t="s">
        <v>158</v>
      </c>
      <c r="C113" s="112"/>
      <c r="D113" s="108"/>
    </row>
    <row r="114" spans="2:4">
      <c r="B114" s="111"/>
      <c r="C114" s="112" t="s">
        <v>154</v>
      </c>
      <c r="D114" s="108"/>
    </row>
    <row r="115" spans="2:4">
      <c r="B115" s="111"/>
      <c r="C115" s="112"/>
      <c r="D115" s="108"/>
    </row>
    <row r="116" spans="2:4">
      <c r="B116" s="111"/>
      <c r="C116" s="112"/>
      <c r="D116" s="108"/>
    </row>
    <row r="117" spans="2:4">
      <c r="B117" s="111" t="s">
        <v>159</v>
      </c>
      <c r="C117" s="112"/>
      <c r="D117" s="108"/>
    </row>
    <row r="118" spans="2:4">
      <c r="B118" s="111"/>
      <c r="C118" s="112" t="s">
        <v>154</v>
      </c>
      <c r="D118" s="108"/>
    </row>
    <row r="119" spans="2:4">
      <c r="B119" s="111"/>
      <c r="C119" s="112"/>
      <c r="D119" s="108"/>
    </row>
    <row r="120" spans="2:4">
      <c r="B120" s="111" t="s">
        <v>197</v>
      </c>
      <c r="C120" s="112"/>
      <c r="D120" s="108" t="s">
        <v>195</v>
      </c>
    </row>
    <row r="121" spans="2:4">
      <c r="B121" s="111"/>
      <c r="C121" s="112" t="s">
        <v>190</v>
      </c>
      <c r="D121" s="108"/>
    </row>
    <row r="122" spans="2:4">
      <c r="B122" s="111"/>
      <c r="C122" s="112"/>
      <c r="D122" s="108"/>
    </row>
    <row r="123" spans="2:4">
      <c r="B123" s="111" t="s">
        <v>160</v>
      </c>
      <c r="C123" s="112"/>
      <c r="D123" s="108" t="s">
        <v>161</v>
      </c>
    </row>
    <row r="124" spans="2:4">
      <c r="B124" s="111"/>
      <c r="C124" s="112" t="s">
        <v>191</v>
      </c>
      <c r="D124" s="108"/>
    </row>
    <row r="125" spans="2:4">
      <c r="B125" s="111"/>
      <c r="C125" s="112"/>
      <c r="D125" s="108"/>
    </row>
    <row r="126" spans="2:4">
      <c r="B126" s="111" t="s">
        <v>217</v>
      </c>
      <c r="C126" s="112"/>
      <c r="D126" s="108" t="s">
        <v>257</v>
      </c>
    </row>
    <row r="127" spans="2:4">
      <c r="B127" s="111"/>
      <c r="C127" s="112" t="s">
        <v>229</v>
      </c>
      <c r="D127" s="108" t="s">
        <v>218</v>
      </c>
    </row>
    <row r="128" spans="2:4">
      <c r="B128" s="111"/>
      <c r="C128" s="112" t="s">
        <v>230</v>
      </c>
      <c r="D128" s="108"/>
    </row>
    <row r="129" spans="2:4">
      <c r="B129" s="111"/>
      <c r="C129" s="112"/>
      <c r="D129" s="108"/>
    </row>
    <row r="130" spans="2:4">
      <c r="B130" s="111" t="s">
        <v>219</v>
      </c>
      <c r="C130" s="112"/>
      <c r="D130" s="108" t="s">
        <v>162</v>
      </c>
    </row>
    <row r="131" spans="2:4">
      <c r="B131" s="111"/>
      <c r="C131" s="112" t="s">
        <v>196</v>
      </c>
      <c r="D131" s="108"/>
    </row>
    <row r="132" spans="2:4">
      <c r="B132" s="111"/>
      <c r="C132" s="112"/>
      <c r="D132" s="108"/>
    </row>
    <row r="133" spans="2:4">
      <c r="B133" s="111" t="s">
        <v>220</v>
      </c>
      <c r="C133" s="112"/>
      <c r="D133" s="108"/>
    </row>
    <row r="134" spans="2:4">
      <c r="B134" s="111"/>
      <c r="C134" s="112" t="s">
        <v>267</v>
      </c>
      <c r="D134" s="108" t="s">
        <v>129</v>
      </c>
    </row>
    <row r="135" spans="2:4">
      <c r="B135" s="111"/>
      <c r="C135" s="112" t="s">
        <v>231</v>
      </c>
      <c r="D135" s="108" t="s">
        <v>130</v>
      </c>
    </row>
    <row r="136" spans="2:4">
      <c r="B136" s="111"/>
      <c r="C136" s="112" t="s">
        <v>232</v>
      </c>
      <c r="D136" s="108" t="s">
        <v>131</v>
      </c>
    </row>
    <row r="137" spans="2:4">
      <c r="B137" s="111"/>
      <c r="C137" s="112"/>
      <c r="D137" s="108"/>
    </row>
    <row r="138" spans="2:4">
      <c r="B138" s="111"/>
      <c r="C138" s="112" t="s">
        <v>221</v>
      </c>
      <c r="D138" s="108" t="s">
        <v>163</v>
      </c>
    </row>
    <row r="139" spans="2:4">
      <c r="B139" s="111"/>
      <c r="C139" s="112" t="s">
        <v>233</v>
      </c>
      <c r="D139" s="108" t="s">
        <v>198</v>
      </c>
    </row>
    <row r="140" spans="2:4">
      <c r="B140" s="111"/>
      <c r="C140" s="112" t="s">
        <v>230</v>
      </c>
      <c r="D140" s="108"/>
    </row>
    <row r="141" spans="2:4">
      <c r="B141" s="111"/>
      <c r="C141" s="112"/>
      <c r="D141" s="108"/>
    </row>
    <row r="142" spans="2:4">
      <c r="B142" s="111" t="s">
        <v>236</v>
      </c>
      <c r="C142" s="112"/>
      <c r="D142" s="108" t="s">
        <v>238</v>
      </c>
    </row>
    <row r="143" spans="2:4">
      <c r="B143" s="111"/>
      <c r="C143" s="112" t="s">
        <v>237</v>
      </c>
      <c r="D143" s="108"/>
    </row>
    <row r="144" spans="2:4">
      <c r="B144" s="113"/>
      <c r="C144" s="114"/>
      <c r="D144" s="73"/>
    </row>
    <row r="145" spans="2:4" ht="18" customHeight="1">
      <c r="B145" s="202">
        <v>3</v>
      </c>
      <c r="C145" s="202"/>
      <c r="D145" s="202"/>
    </row>
    <row r="146" spans="2:4" ht="18" customHeight="1"/>
    <row r="147" spans="2:4" ht="18" customHeight="1"/>
    <row r="148" spans="2:4" ht="18" customHeight="1"/>
    <row r="149" spans="2:4" ht="18" customHeight="1"/>
    <row r="150" spans="2:4" ht="18" customHeight="1"/>
    <row r="151" spans="2:4" ht="18" customHeight="1"/>
    <row r="152" spans="2:4" ht="18" customHeight="1"/>
    <row r="153" spans="2:4" ht="18" customHeight="1"/>
    <row r="154" spans="2:4" ht="18" customHeight="1"/>
    <row r="155" spans="2:4" ht="18" customHeight="1"/>
    <row r="156" spans="2:4" ht="18" customHeight="1"/>
    <row r="157" spans="2:4" ht="18" customHeight="1"/>
    <row r="158" spans="2:4" ht="18" customHeight="1"/>
    <row r="159" spans="2:4" ht="18" customHeight="1"/>
    <row r="160" spans="2:4"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sheetData>
  <mergeCells count="13">
    <mergeCell ref="C3:D3"/>
    <mergeCell ref="C4:D4"/>
    <mergeCell ref="C5:D5"/>
    <mergeCell ref="C6:D6"/>
    <mergeCell ref="C7:D7"/>
    <mergeCell ref="B109:C109"/>
    <mergeCell ref="B145:D145"/>
    <mergeCell ref="B105:D105"/>
    <mergeCell ref="B11:C11"/>
    <mergeCell ref="B61:C61"/>
    <mergeCell ref="B57:D57"/>
    <mergeCell ref="B95:C95"/>
    <mergeCell ref="B86:C86"/>
  </mergeCells>
  <phoneticPr fontId="8"/>
  <pageMargins left="0.62" right="0.27" top="0.75" bottom="0.75" header="0.3" footer="0.3"/>
  <pageSetup paperSize="9" scale="79" fitToHeight="0" orientation="portrait" r:id="rId1"/>
  <headerFooter>
    <oddHeader>&amp;R&amp;6 SMR-01-030 (SMN) Sheet2_x000D_Revision: 5_x000D_Page: &amp;P of &amp;N_x000D_Date: 2024/04/01&amp;</oddHeader>
    <oddFooter>&amp;R&amp;8 NS UNITED KAIUN KAISHA, LTD.</oddFooter>
  </headerFooter>
  <rowBreaks count="2" manualBreakCount="2">
    <brk id="57" max="16383" man="1"/>
    <brk id="105"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D86"/>
  <sheetViews>
    <sheetView tabSelected="1" view="pageBreakPreview" topLeftCell="A59" zoomScale="55" zoomScaleNormal="80" zoomScaleSheetLayoutView="55" workbookViewId="0">
      <selection activeCell="R5" sqref="R5"/>
    </sheetView>
  </sheetViews>
  <sheetFormatPr defaultColWidth="9" defaultRowHeight="12.75"/>
  <cols>
    <col min="1" max="1" width="2.625" style="55" customWidth="1"/>
    <col min="2" max="2" width="2.75" style="55" customWidth="1"/>
    <col min="3" max="3" width="7.75" style="55" customWidth="1"/>
    <col min="4" max="4" width="11.625" style="55" customWidth="1"/>
    <col min="5" max="5" width="20.625" style="55" customWidth="1"/>
    <col min="6" max="6" width="12.625" style="55" customWidth="1"/>
    <col min="7" max="8" width="11.625" style="55" customWidth="1"/>
    <col min="9" max="9" width="12.375" style="55" customWidth="1"/>
    <col min="10" max="10" width="17.625" style="55" bestFit="1" customWidth="1"/>
    <col min="11" max="11" width="26.25" style="55" customWidth="1"/>
    <col min="12" max="12" width="17.5" style="55" bestFit="1" customWidth="1"/>
    <col min="13" max="13" width="16.5" style="55" customWidth="1"/>
    <col min="14" max="14" width="16.5" style="55" bestFit="1" customWidth="1"/>
    <col min="15" max="15" width="17.25" style="55" customWidth="1"/>
    <col min="16" max="16" width="17.5" style="55" bestFit="1" customWidth="1"/>
    <col min="17" max="17" width="11.625" style="55" customWidth="1"/>
    <col min="18" max="18" width="17.75" style="55" bestFit="1" customWidth="1"/>
    <col min="19" max="19" width="17.625" style="55" bestFit="1" customWidth="1"/>
    <col min="20" max="20" width="11.625" style="55" customWidth="1"/>
    <col min="21" max="27" width="9.625" style="55" customWidth="1"/>
    <col min="28" max="29" width="10.125" style="55" customWidth="1"/>
    <col min="30" max="31" width="9.75" style="55" customWidth="1"/>
    <col min="32" max="16384" width="9" style="55"/>
  </cols>
  <sheetData>
    <row r="2" spans="2:29" ht="23.25">
      <c r="B2" s="89" t="s">
        <v>169</v>
      </c>
      <c r="C2" s="89"/>
      <c r="D2" s="89"/>
      <c r="E2" s="72"/>
      <c r="J2" s="208" t="s">
        <v>64</v>
      </c>
      <c r="K2" s="209"/>
      <c r="L2" s="210"/>
      <c r="M2" s="72"/>
      <c r="N2" s="72"/>
      <c r="R2" s="207" t="s">
        <v>166</v>
      </c>
      <c r="S2" s="207"/>
      <c r="T2" s="72"/>
      <c r="U2" s="72"/>
      <c r="V2" s="72"/>
      <c r="W2" s="72"/>
      <c r="X2" s="72"/>
      <c r="Y2" s="72"/>
    </row>
    <row r="3" spans="2:29" ht="12" customHeight="1">
      <c r="B3" s="74"/>
      <c r="C3" s="74"/>
      <c r="D3" s="74"/>
      <c r="E3" s="72"/>
      <c r="H3" s="74"/>
      <c r="I3" s="74"/>
      <c r="J3" s="74"/>
      <c r="K3" s="72"/>
      <c r="L3" s="72"/>
      <c r="M3" s="72"/>
      <c r="N3" s="72"/>
      <c r="O3" s="72"/>
      <c r="P3" s="72"/>
      <c r="Q3" s="72"/>
      <c r="R3" s="72"/>
      <c r="S3" s="72"/>
      <c r="T3" s="72"/>
      <c r="U3" s="72"/>
      <c r="V3" s="72"/>
      <c r="W3" s="72"/>
      <c r="X3" s="72"/>
      <c r="Y3" s="72"/>
    </row>
    <row r="4" spans="2:29" ht="20.25">
      <c r="D4" s="77" t="s">
        <v>67</v>
      </c>
      <c r="E4" s="211" t="s">
        <v>270</v>
      </c>
      <c r="F4" s="211"/>
      <c r="G4" s="77" t="s">
        <v>66</v>
      </c>
      <c r="H4" s="211" t="s">
        <v>271</v>
      </c>
      <c r="I4" s="211"/>
      <c r="Q4" s="77" t="s">
        <v>68</v>
      </c>
      <c r="R4" s="228">
        <v>45936</v>
      </c>
      <c r="S4" s="228"/>
    </row>
    <row r="5" spans="2:29" ht="6.75" customHeight="1">
      <c r="E5" s="71"/>
      <c r="H5" s="75"/>
      <c r="I5" s="75"/>
      <c r="AB5" s="76"/>
      <c r="AC5" s="76"/>
    </row>
    <row r="6" spans="2:29" s="100" customFormat="1" ht="20.100000000000001" customHeight="1">
      <c r="B6" s="99"/>
      <c r="C6" s="125" t="s">
        <v>104</v>
      </c>
      <c r="D6" s="125" t="s">
        <v>105</v>
      </c>
      <c r="E6" s="125" t="s">
        <v>106</v>
      </c>
      <c r="F6" s="125" t="s">
        <v>107</v>
      </c>
      <c r="G6" s="229" t="s">
        <v>108</v>
      </c>
      <c r="H6" s="229"/>
      <c r="I6" s="229" t="s">
        <v>109</v>
      </c>
      <c r="J6" s="229"/>
      <c r="K6" s="229" t="s">
        <v>110</v>
      </c>
      <c r="L6" s="229"/>
      <c r="M6" s="229" t="s">
        <v>111</v>
      </c>
      <c r="N6" s="229"/>
      <c r="O6" s="229" t="s">
        <v>112</v>
      </c>
      <c r="P6" s="229"/>
      <c r="Q6" s="125" t="s">
        <v>113</v>
      </c>
      <c r="R6" s="125" t="s">
        <v>114</v>
      </c>
      <c r="S6" s="125" t="s">
        <v>115</v>
      </c>
      <c r="AB6" s="101"/>
      <c r="AC6" s="101"/>
    </row>
    <row r="7" spans="2:29" ht="20.100000000000001" customHeight="1">
      <c r="B7" s="57"/>
      <c r="C7" s="222" t="s">
        <v>51</v>
      </c>
      <c r="D7" s="225" t="s">
        <v>52</v>
      </c>
      <c r="E7" s="226"/>
      <c r="F7" s="62"/>
      <c r="G7" s="220" t="s">
        <v>54</v>
      </c>
      <c r="H7" s="233"/>
      <c r="I7" s="220" t="s">
        <v>65</v>
      </c>
      <c r="J7" s="233"/>
      <c r="K7" s="220" t="s">
        <v>90</v>
      </c>
      <c r="L7" s="233"/>
      <c r="M7" s="220" t="s">
        <v>69</v>
      </c>
      <c r="N7" s="233"/>
      <c r="O7" s="220" t="s">
        <v>70</v>
      </c>
      <c r="P7" s="237"/>
      <c r="Q7" s="62" t="s">
        <v>85</v>
      </c>
      <c r="R7" s="155" t="s">
        <v>55</v>
      </c>
      <c r="S7" s="156" t="s">
        <v>56</v>
      </c>
    </row>
    <row r="8" spans="2:29" ht="20.100000000000001" customHeight="1">
      <c r="B8" s="67"/>
      <c r="C8" s="223"/>
      <c r="D8" s="222" t="s">
        <v>88</v>
      </c>
      <c r="E8" s="222" t="s">
        <v>89</v>
      </c>
      <c r="F8" s="68" t="s">
        <v>59</v>
      </c>
      <c r="G8" s="81"/>
      <c r="H8" s="82"/>
      <c r="I8" s="81"/>
      <c r="J8" s="82"/>
      <c r="K8" s="234"/>
      <c r="L8" s="235"/>
      <c r="M8" s="81"/>
      <c r="N8" s="82"/>
      <c r="O8" s="234" t="s">
        <v>87</v>
      </c>
      <c r="P8" s="235"/>
      <c r="Q8" s="85" t="s">
        <v>86</v>
      </c>
      <c r="R8" s="157" t="s">
        <v>60</v>
      </c>
      <c r="S8" s="158" t="s">
        <v>72</v>
      </c>
    </row>
    <row r="9" spans="2:29" ht="20.100000000000001" customHeight="1">
      <c r="B9" s="67"/>
      <c r="C9" s="223"/>
      <c r="D9" s="223"/>
      <c r="E9" s="223"/>
      <c r="F9" s="68"/>
      <c r="G9" s="64" t="s">
        <v>75</v>
      </c>
      <c r="H9" s="148" t="s">
        <v>76</v>
      </c>
      <c r="I9" s="64" t="s">
        <v>75</v>
      </c>
      <c r="J9" s="65" t="s">
        <v>76</v>
      </c>
      <c r="K9" s="64" t="s">
        <v>75</v>
      </c>
      <c r="L9" s="65" t="s">
        <v>76</v>
      </c>
      <c r="M9" s="64" t="s">
        <v>75</v>
      </c>
      <c r="N9" s="65" t="s">
        <v>76</v>
      </c>
      <c r="O9" s="64" t="s">
        <v>75</v>
      </c>
      <c r="P9" s="80" t="s">
        <v>76</v>
      </c>
      <c r="Q9" s="222" t="s">
        <v>178</v>
      </c>
      <c r="R9" s="159"/>
      <c r="S9" s="160"/>
    </row>
    <row r="10" spans="2:29" ht="20.100000000000001" customHeight="1">
      <c r="B10" s="60"/>
      <c r="C10" s="224"/>
      <c r="D10" s="224"/>
      <c r="E10" s="224"/>
      <c r="F10" s="63"/>
      <c r="G10" s="79"/>
      <c r="H10" s="149" t="s">
        <v>239</v>
      </c>
      <c r="I10" s="79"/>
      <c r="J10" s="66" t="s">
        <v>241</v>
      </c>
      <c r="K10" s="79"/>
      <c r="L10" s="66" t="s">
        <v>239</v>
      </c>
      <c r="M10" s="79"/>
      <c r="N10" s="66" t="s">
        <v>239</v>
      </c>
      <c r="O10" s="79"/>
      <c r="P10" s="78" t="s">
        <v>240</v>
      </c>
      <c r="Q10" s="224"/>
      <c r="R10" s="161" t="s">
        <v>243</v>
      </c>
      <c r="S10" s="162" t="s">
        <v>61</v>
      </c>
    </row>
    <row r="11" spans="2:29" s="138" customFormat="1" ht="20.100000000000001" customHeight="1">
      <c r="B11" s="131">
        <v>1</v>
      </c>
      <c r="C11" s="142" t="s">
        <v>39</v>
      </c>
      <c r="D11" s="131" t="s">
        <v>273</v>
      </c>
      <c r="E11" s="133" t="s">
        <v>335</v>
      </c>
      <c r="F11" s="134" t="s">
        <v>274</v>
      </c>
      <c r="G11" s="134" t="s">
        <v>442</v>
      </c>
      <c r="H11" s="150">
        <v>47881</v>
      </c>
      <c r="I11" s="139" t="s">
        <v>336</v>
      </c>
      <c r="J11" s="150">
        <v>47143</v>
      </c>
      <c r="K11" s="139" t="s">
        <v>337</v>
      </c>
      <c r="L11" s="137" t="s">
        <v>275</v>
      </c>
      <c r="M11" s="139" t="s">
        <v>338</v>
      </c>
      <c r="N11" s="151">
        <v>47094</v>
      </c>
      <c r="O11" s="139" t="s">
        <v>339</v>
      </c>
      <c r="P11" s="154">
        <v>46716</v>
      </c>
      <c r="Q11" s="141"/>
      <c r="R11" s="154" t="s">
        <v>410</v>
      </c>
      <c r="S11" s="151">
        <v>46109</v>
      </c>
    </row>
    <row r="12" spans="2:29" ht="20.100000000000001" customHeight="1">
      <c r="B12" s="56">
        <v>2</v>
      </c>
      <c r="C12" s="69" t="s">
        <v>40</v>
      </c>
      <c r="D12" s="56" t="s">
        <v>273</v>
      </c>
      <c r="E12" s="70" t="s">
        <v>462</v>
      </c>
      <c r="F12" s="59" t="s">
        <v>274</v>
      </c>
      <c r="G12" s="61" t="s">
        <v>463</v>
      </c>
      <c r="H12" s="152">
        <v>46974</v>
      </c>
      <c r="I12" s="59" t="s">
        <v>471</v>
      </c>
      <c r="J12" s="152">
        <v>47170</v>
      </c>
      <c r="K12" s="59" t="s">
        <v>464</v>
      </c>
      <c r="L12" s="123" t="s">
        <v>275</v>
      </c>
      <c r="M12" s="59" t="s">
        <v>472</v>
      </c>
      <c r="N12" s="152">
        <v>47569</v>
      </c>
      <c r="O12" s="181" t="s">
        <v>473</v>
      </c>
      <c r="P12" s="152">
        <v>46616</v>
      </c>
      <c r="Q12" s="59"/>
      <c r="R12" s="179" t="s">
        <v>410</v>
      </c>
      <c r="S12" s="152">
        <v>46269</v>
      </c>
    </row>
    <row r="13" spans="2:29" s="138" customFormat="1" ht="20.100000000000001" customHeight="1">
      <c r="B13" s="131">
        <v>3</v>
      </c>
      <c r="C13" s="132" t="s">
        <v>41</v>
      </c>
      <c r="D13" s="131" t="s">
        <v>280</v>
      </c>
      <c r="E13" s="133" t="s">
        <v>284</v>
      </c>
      <c r="F13" s="134" t="s">
        <v>274</v>
      </c>
      <c r="G13" s="135" t="s">
        <v>285</v>
      </c>
      <c r="H13" s="151">
        <v>47754</v>
      </c>
      <c r="I13" s="134" t="s">
        <v>286</v>
      </c>
      <c r="J13" s="150">
        <v>46623</v>
      </c>
      <c r="K13" s="134" t="s">
        <v>287</v>
      </c>
      <c r="L13" s="137" t="s">
        <v>275</v>
      </c>
      <c r="M13" s="134" t="s">
        <v>288</v>
      </c>
      <c r="N13" s="150">
        <v>46593</v>
      </c>
      <c r="O13" s="134" t="s">
        <v>289</v>
      </c>
      <c r="P13" s="150">
        <v>46568</v>
      </c>
      <c r="Q13" s="134"/>
      <c r="R13" s="154" t="s">
        <v>410</v>
      </c>
      <c r="S13" s="150">
        <v>46028</v>
      </c>
    </row>
    <row r="14" spans="2:29" s="138" customFormat="1" ht="20.100000000000001" customHeight="1">
      <c r="B14" s="131">
        <v>4</v>
      </c>
      <c r="C14" s="132" t="s">
        <v>279</v>
      </c>
      <c r="D14" s="131" t="s">
        <v>393</v>
      </c>
      <c r="E14" s="133" t="s">
        <v>394</v>
      </c>
      <c r="F14" s="134" t="s">
        <v>274</v>
      </c>
      <c r="G14" s="135" t="s">
        <v>395</v>
      </c>
      <c r="H14" s="151">
        <v>48298</v>
      </c>
      <c r="I14" s="134" t="s">
        <v>406</v>
      </c>
      <c r="J14" s="150">
        <v>47240</v>
      </c>
      <c r="K14" s="134" t="s">
        <v>436</v>
      </c>
      <c r="L14" s="137" t="s">
        <v>275</v>
      </c>
      <c r="M14" s="134" t="s">
        <v>407</v>
      </c>
      <c r="N14" s="150">
        <v>47240</v>
      </c>
      <c r="O14" s="134" t="s">
        <v>408</v>
      </c>
      <c r="P14" s="150">
        <v>46643</v>
      </c>
      <c r="Q14" s="146"/>
      <c r="R14" s="154" t="s">
        <v>410</v>
      </c>
      <c r="S14" s="150">
        <v>46171</v>
      </c>
    </row>
    <row r="15" spans="2:29" ht="20.100000000000001" customHeight="1">
      <c r="B15" s="56">
        <v>5</v>
      </c>
      <c r="C15" s="69" t="s">
        <v>42</v>
      </c>
      <c r="D15" s="56" t="s">
        <v>273</v>
      </c>
      <c r="E15" s="70" t="s">
        <v>446</v>
      </c>
      <c r="F15" s="59" t="s">
        <v>274</v>
      </c>
      <c r="G15" s="61" t="s">
        <v>447</v>
      </c>
      <c r="H15" s="152">
        <v>47860</v>
      </c>
      <c r="I15" s="181" t="s">
        <v>452</v>
      </c>
      <c r="J15" s="180">
        <v>47576</v>
      </c>
      <c r="K15" s="59" t="s">
        <v>450</v>
      </c>
      <c r="L15" s="123" t="s">
        <v>275</v>
      </c>
      <c r="M15" s="182"/>
      <c r="N15" s="183"/>
      <c r="O15" s="181" t="s">
        <v>453</v>
      </c>
      <c r="P15" s="180">
        <v>46799</v>
      </c>
      <c r="Q15" s="182"/>
      <c r="R15" s="179" t="s">
        <v>410</v>
      </c>
      <c r="S15" s="180">
        <v>46203</v>
      </c>
    </row>
    <row r="16" spans="2:29" s="138" customFormat="1" ht="20.100000000000001" customHeight="1">
      <c r="B16" s="131">
        <v>6</v>
      </c>
      <c r="C16" s="132" t="s">
        <v>268</v>
      </c>
      <c r="D16" s="131" t="s">
        <v>293</v>
      </c>
      <c r="E16" s="133" t="s">
        <v>294</v>
      </c>
      <c r="F16" s="134" t="s">
        <v>274</v>
      </c>
      <c r="G16" s="135" t="s">
        <v>295</v>
      </c>
      <c r="H16" s="150">
        <v>48434</v>
      </c>
      <c r="I16" s="134" t="s">
        <v>296</v>
      </c>
      <c r="J16" s="150">
        <v>46624</v>
      </c>
      <c r="K16" s="134" t="s">
        <v>297</v>
      </c>
      <c r="L16" s="137" t="s">
        <v>275</v>
      </c>
      <c r="M16" s="134"/>
      <c r="N16" s="150"/>
      <c r="O16" s="134" t="s">
        <v>298</v>
      </c>
      <c r="P16" s="150">
        <v>46799</v>
      </c>
      <c r="Q16" s="134"/>
      <c r="R16" s="154" t="s">
        <v>410</v>
      </c>
      <c r="S16" s="150">
        <v>46028</v>
      </c>
    </row>
    <row r="17" spans="2:19" s="138" customFormat="1" ht="20.100000000000001" customHeight="1">
      <c r="B17" s="131">
        <v>7</v>
      </c>
      <c r="C17" s="132" t="s">
        <v>62</v>
      </c>
      <c r="D17" s="131" t="s">
        <v>280</v>
      </c>
      <c r="E17" s="133" t="s">
        <v>303</v>
      </c>
      <c r="F17" s="134" t="s">
        <v>274</v>
      </c>
      <c r="G17" s="135" t="s">
        <v>304</v>
      </c>
      <c r="H17" s="150">
        <v>46482</v>
      </c>
      <c r="I17" s="134" t="s">
        <v>305</v>
      </c>
      <c r="J17" s="150">
        <v>47455</v>
      </c>
      <c r="K17" s="134" t="s">
        <v>306</v>
      </c>
      <c r="L17" s="137" t="s">
        <v>275</v>
      </c>
      <c r="M17" s="134"/>
      <c r="N17" s="150"/>
      <c r="O17" s="134" t="s">
        <v>307</v>
      </c>
      <c r="P17" s="150">
        <v>46616</v>
      </c>
      <c r="Q17" s="134"/>
      <c r="R17" s="154" t="s">
        <v>410</v>
      </c>
      <c r="S17" s="150">
        <v>46028</v>
      </c>
    </row>
    <row r="18" spans="2:19" s="138" customFormat="1" ht="20.100000000000001" customHeight="1">
      <c r="B18" s="131">
        <v>8</v>
      </c>
      <c r="C18" s="132" t="s">
        <v>269</v>
      </c>
      <c r="D18" s="131" t="s">
        <v>396</v>
      </c>
      <c r="E18" s="133" t="s">
        <v>397</v>
      </c>
      <c r="F18" s="134" t="s">
        <v>274</v>
      </c>
      <c r="G18" s="135" t="s">
        <v>398</v>
      </c>
      <c r="H18" s="150">
        <v>48578</v>
      </c>
      <c r="I18" s="134" t="s">
        <v>416</v>
      </c>
      <c r="J18" s="150">
        <v>47517</v>
      </c>
      <c r="K18" s="134" t="s">
        <v>437</v>
      </c>
      <c r="L18" s="137" t="s">
        <v>275</v>
      </c>
      <c r="M18" s="146"/>
      <c r="N18" s="150"/>
      <c r="O18" s="134" t="s">
        <v>417</v>
      </c>
      <c r="P18" s="150">
        <v>46952</v>
      </c>
      <c r="Q18" s="134"/>
      <c r="R18" s="154" t="s">
        <v>410</v>
      </c>
      <c r="S18" s="150">
        <v>46171</v>
      </c>
    </row>
    <row r="19" spans="2:19" s="138" customFormat="1" ht="20.100000000000001" customHeight="1">
      <c r="B19" s="131">
        <v>9</v>
      </c>
      <c r="C19" s="132" t="s">
        <v>44</v>
      </c>
      <c r="D19" s="131" t="s">
        <v>281</v>
      </c>
      <c r="E19" s="133" t="s">
        <v>340</v>
      </c>
      <c r="F19" s="134" t="s">
        <v>274</v>
      </c>
      <c r="G19" s="135" t="s">
        <v>341</v>
      </c>
      <c r="H19" s="150">
        <v>46707</v>
      </c>
      <c r="I19" s="134"/>
      <c r="J19" s="150"/>
      <c r="K19" s="134" t="s">
        <v>342</v>
      </c>
      <c r="L19" s="137" t="s">
        <v>275</v>
      </c>
      <c r="M19" s="134"/>
      <c r="N19" s="150"/>
      <c r="O19" s="134" t="s">
        <v>343</v>
      </c>
      <c r="P19" s="150">
        <v>46743</v>
      </c>
      <c r="Q19" s="134" t="s">
        <v>276</v>
      </c>
      <c r="R19" s="154" t="s">
        <v>410</v>
      </c>
      <c r="S19" s="150">
        <v>46109</v>
      </c>
    </row>
    <row r="20" spans="2:19" s="138" customFormat="1" ht="20.100000000000001" customHeight="1">
      <c r="B20" s="131">
        <v>10</v>
      </c>
      <c r="C20" s="132" t="s">
        <v>45</v>
      </c>
      <c r="D20" s="131" t="s">
        <v>273</v>
      </c>
      <c r="E20" s="133" t="s">
        <v>344</v>
      </c>
      <c r="F20" s="134" t="s">
        <v>274</v>
      </c>
      <c r="G20" s="135" t="s">
        <v>345</v>
      </c>
      <c r="H20" s="150">
        <v>46986</v>
      </c>
      <c r="I20" s="139"/>
      <c r="J20" s="153"/>
      <c r="K20" s="139" t="s">
        <v>346</v>
      </c>
      <c r="L20" s="143" t="s">
        <v>275</v>
      </c>
      <c r="M20" s="139" t="s">
        <v>43</v>
      </c>
      <c r="N20" s="151" t="s">
        <v>43</v>
      </c>
      <c r="O20" s="139" t="s">
        <v>347</v>
      </c>
      <c r="P20" s="151">
        <v>46869</v>
      </c>
      <c r="Q20" s="139" t="s">
        <v>276</v>
      </c>
      <c r="R20" s="154" t="s">
        <v>410</v>
      </c>
      <c r="S20" s="151">
        <v>46112</v>
      </c>
    </row>
    <row r="21" spans="2:19" s="138" customFormat="1" ht="20.100000000000001" customHeight="1">
      <c r="B21" s="131">
        <v>11</v>
      </c>
      <c r="C21" s="132" t="s">
        <v>45</v>
      </c>
      <c r="D21" s="131" t="s">
        <v>273</v>
      </c>
      <c r="E21" s="133" t="s">
        <v>294</v>
      </c>
      <c r="F21" s="134" t="s">
        <v>274</v>
      </c>
      <c r="G21" s="135" t="s">
        <v>399</v>
      </c>
      <c r="H21" s="150">
        <v>47170</v>
      </c>
      <c r="I21" s="146"/>
      <c r="J21" s="150"/>
      <c r="K21" s="134" t="s">
        <v>438</v>
      </c>
      <c r="L21" s="137" t="s">
        <v>275</v>
      </c>
      <c r="M21" s="146" t="s">
        <v>43</v>
      </c>
      <c r="N21" s="150" t="s">
        <v>43</v>
      </c>
      <c r="O21" s="134" t="s">
        <v>423</v>
      </c>
      <c r="P21" s="150">
        <v>47534</v>
      </c>
      <c r="Q21" s="134" t="s">
        <v>276</v>
      </c>
      <c r="R21" s="154" t="s">
        <v>410</v>
      </c>
      <c r="S21" s="150">
        <v>46171</v>
      </c>
    </row>
    <row r="22" spans="2:19" s="138" customFormat="1" ht="20.100000000000001" customHeight="1">
      <c r="B22" s="131">
        <v>12</v>
      </c>
      <c r="C22" s="132" t="s">
        <v>45</v>
      </c>
      <c r="D22" s="131" t="s">
        <v>273</v>
      </c>
      <c r="E22" s="133" t="s">
        <v>348</v>
      </c>
      <c r="F22" s="134" t="s">
        <v>274</v>
      </c>
      <c r="G22" s="135" t="s">
        <v>349</v>
      </c>
      <c r="H22" s="150">
        <v>47957</v>
      </c>
      <c r="I22" s="134"/>
      <c r="J22" s="150"/>
      <c r="K22" s="134" t="s">
        <v>350</v>
      </c>
      <c r="L22" s="137" t="s">
        <v>275</v>
      </c>
      <c r="M22" s="134" t="s">
        <v>43</v>
      </c>
      <c r="N22" s="150" t="s">
        <v>43</v>
      </c>
      <c r="O22" s="134" t="s">
        <v>388</v>
      </c>
      <c r="P22" s="150">
        <v>47567</v>
      </c>
      <c r="Q22" s="134" t="s">
        <v>276</v>
      </c>
      <c r="R22" s="154" t="s">
        <v>410</v>
      </c>
      <c r="S22" s="150">
        <v>46114</v>
      </c>
    </row>
    <row r="23" spans="2:19" ht="20.100000000000001" customHeight="1">
      <c r="B23" s="56">
        <v>13</v>
      </c>
      <c r="C23" s="69" t="s">
        <v>46</v>
      </c>
      <c r="D23" s="56" t="s">
        <v>273</v>
      </c>
      <c r="E23" s="70" t="s">
        <v>448</v>
      </c>
      <c r="F23" s="59" t="s">
        <v>274</v>
      </c>
      <c r="G23" s="61" t="s">
        <v>449</v>
      </c>
      <c r="H23" s="152">
        <v>48323</v>
      </c>
      <c r="I23" s="59"/>
      <c r="J23" s="152"/>
      <c r="K23" s="59" t="s">
        <v>451</v>
      </c>
      <c r="L23" s="123" t="s">
        <v>275</v>
      </c>
      <c r="M23" s="59" t="s">
        <v>43</v>
      </c>
      <c r="N23" s="152" t="s">
        <v>43</v>
      </c>
      <c r="O23" s="59" t="s">
        <v>459</v>
      </c>
      <c r="P23" s="152">
        <v>46402</v>
      </c>
      <c r="Q23" s="59" t="s">
        <v>276</v>
      </c>
      <c r="R23" s="179" t="s">
        <v>410</v>
      </c>
      <c r="S23" s="180">
        <v>46203</v>
      </c>
    </row>
    <row r="24" spans="2:19" s="138" customFormat="1" ht="20.100000000000001" customHeight="1">
      <c r="B24" s="131">
        <v>14</v>
      </c>
      <c r="C24" s="132" t="s">
        <v>46</v>
      </c>
      <c r="D24" s="131" t="s">
        <v>351</v>
      </c>
      <c r="E24" s="133" t="s">
        <v>352</v>
      </c>
      <c r="F24" s="134" t="s">
        <v>274</v>
      </c>
      <c r="G24" s="135" t="s">
        <v>353</v>
      </c>
      <c r="H24" s="150">
        <v>48346</v>
      </c>
      <c r="I24" s="134"/>
      <c r="J24" s="150"/>
      <c r="K24" s="134" t="s">
        <v>354</v>
      </c>
      <c r="L24" s="137" t="s">
        <v>275</v>
      </c>
      <c r="M24" s="134" t="s">
        <v>43</v>
      </c>
      <c r="N24" s="150" t="s">
        <v>43</v>
      </c>
      <c r="O24" s="134" t="s">
        <v>355</v>
      </c>
      <c r="P24" s="150">
        <v>46792</v>
      </c>
      <c r="Q24" s="134" t="s">
        <v>276</v>
      </c>
      <c r="R24" s="154" t="s">
        <v>410</v>
      </c>
      <c r="S24" s="150">
        <v>46109</v>
      </c>
    </row>
    <row r="25" spans="2:19" s="138" customFormat="1" ht="19.5" customHeight="1">
      <c r="B25" s="131">
        <v>15</v>
      </c>
      <c r="C25" s="132" t="s">
        <v>63</v>
      </c>
      <c r="D25" s="131" t="s">
        <v>393</v>
      </c>
      <c r="E25" s="133" t="s">
        <v>400</v>
      </c>
      <c r="F25" s="134" t="s">
        <v>274</v>
      </c>
      <c r="G25" s="135" t="s">
        <v>401</v>
      </c>
      <c r="H25" s="150">
        <v>49133</v>
      </c>
      <c r="I25" s="146"/>
      <c r="J25" s="150"/>
      <c r="K25" s="134" t="s">
        <v>439</v>
      </c>
      <c r="L25" s="137" t="s">
        <v>275</v>
      </c>
      <c r="M25" s="146" t="s">
        <v>43</v>
      </c>
      <c r="N25" s="150" t="s">
        <v>43</v>
      </c>
      <c r="O25" s="134" t="s">
        <v>427</v>
      </c>
      <c r="P25" s="150">
        <v>47220</v>
      </c>
      <c r="Q25" s="134"/>
      <c r="R25" s="154" t="s">
        <v>410</v>
      </c>
      <c r="S25" s="150">
        <v>46171</v>
      </c>
    </row>
    <row r="26" spans="2:19" s="138" customFormat="1" ht="20.100000000000001" customHeight="1">
      <c r="B26" s="131">
        <v>16</v>
      </c>
      <c r="C26" s="132" t="s">
        <v>47</v>
      </c>
      <c r="D26" s="131" t="s">
        <v>313</v>
      </c>
      <c r="E26" s="133" t="s">
        <v>314</v>
      </c>
      <c r="F26" s="134" t="s">
        <v>274</v>
      </c>
      <c r="G26" s="135" t="s">
        <v>315</v>
      </c>
      <c r="H26" s="150">
        <v>48730</v>
      </c>
      <c r="I26" s="134"/>
      <c r="J26" s="153"/>
      <c r="K26" s="134" t="s">
        <v>316</v>
      </c>
      <c r="L26" s="137" t="s">
        <v>275</v>
      </c>
      <c r="M26" s="134"/>
      <c r="N26" s="153"/>
      <c r="O26" s="134" t="s">
        <v>317</v>
      </c>
      <c r="P26" s="150">
        <v>46967</v>
      </c>
      <c r="Q26" s="134" t="s">
        <v>276</v>
      </c>
      <c r="R26" s="154" t="s">
        <v>410</v>
      </c>
      <c r="S26" s="151">
        <v>46028</v>
      </c>
    </row>
    <row r="27" spans="2:19" s="138" customFormat="1" ht="20.100000000000001" customHeight="1">
      <c r="B27" s="131">
        <v>17</v>
      </c>
      <c r="C27" s="132" t="s">
        <v>48</v>
      </c>
      <c r="D27" s="131" t="s">
        <v>356</v>
      </c>
      <c r="E27" s="133" t="s">
        <v>357</v>
      </c>
      <c r="F27" s="134" t="s">
        <v>274</v>
      </c>
      <c r="G27" s="135" t="s">
        <v>358</v>
      </c>
      <c r="H27" s="150">
        <v>48833</v>
      </c>
      <c r="I27" s="134"/>
      <c r="J27" s="150"/>
      <c r="K27" s="134" t="s">
        <v>359</v>
      </c>
      <c r="L27" s="137" t="s">
        <v>275</v>
      </c>
      <c r="M27" s="134" t="s">
        <v>43</v>
      </c>
      <c r="N27" s="150" t="s">
        <v>43</v>
      </c>
      <c r="O27" s="134" t="s">
        <v>360</v>
      </c>
      <c r="P27" s="150">
        <v>47004</v>
      </c>
      <c r="Q27" s="134" t="s">
        <v>276</v>
      </c>
      <c r="R27" s="154" t="s">
        <v>410</v>
      </c>
      <c r="S27" s="150">
        <v>46109</v>
      </c>
    </row>
    <row r="28" spans="2:19" s="138" customFormat="1" ht="20.100000000000001" customHeight="1">
      <c r="B28" s="131">
        <v>18</v>
      </c>
      <c r="C28" s="132" t="s">
        <v>48</v>
      </c>
      <c r="D28" s="131" t="s">
        <v>283</v>
      </c>
      <c r="E28" s="133" t="s">
        <v>402</v>
      </c>
      <c r="F28" s="134" t="s">
        <v>274</v>
      </c>
      <c r="G28" s="135" t="s">
        <v>403</v>
      </c>
      <c r="H28" s="150">
        <v>49323</v>
      </c>
      <c r="I28" s="146"/>
      <c r="J28" s="150"/>
      <c r="K28" s="134" t="s">
        <v>440</v>
      </c>
      <c r="L28" s="137" t="s">
        <v>275</v>
      </c>
      <c r="M28" s="146"/>
      <c r="N28" s="150"/>
      <c r="O28" s="134" t="s">
        <v>430</v>
      </c>
      <c r="P28" s="150">
        <v>46454</v>
      </c>
      <c r="Q28" s="134" t="s">
        <v>276</v>
      </c>
      <c r="R28" s="154" t="s">
        <v>410</v>
      </c>
      <c r="S28" s="150">
        <v>46171</v>
      </c>
    </row>
    <row r="29" spans="2:19" s="138" customFormat="1" ht="20.100000000000001" customHeight="1">
      <c r="B29" s="131">
        <v>19</v>
      </c>
      <c r="C29" s="132" t="s">
        <v>49</v>
      </c>
      <c r="D29" s="131" t="s">
        <v>361</v>
      </c>
      <c r="E29" s="133" t="s">
        <v>362</v>
      </c>
      <c r="F29" s="134" t="s">
        <v>274</v>
      </c>
      <c r="G29" s="135" t="s">
        <v>363</v>
      </c>
      <c r="H29" s="150">
        <v>47743</v>
      </c>
      <c r="I29" s="139"/>
      <c r="J29" s="153"/>
      <c r="K29" s="134" t="s">
        <v>364</v>
      </c>
      <c r="L29" s="137" t="s">
        <v>275</v>
      </c>
      <c r="M29" s="140"/>
      <c r="N29" s="153"/>
      <c r="O29" s="139" t="s">
        <v>365</v>
      </c>
      <c r="P29" s="151">
        <v>47475</v>
      </c>
      <c r="Q29" s="139"/>
      <c r="R29" s="154" t="s">
        <v>410</v>
      </c>
      <c r="S29" s="151">
        <v>46114</v>
      </c>
    </row>
    <row r="30" spans="2:19" s="138" customFormat="1" ht="20.100000000000001" customHeight="1">
      <c r="B30" s="131">
        <v>20</v>
      </c>
      <c r="C30" s="132" t="s">
        <v>272</v>
      </c>
      <c r="D30" s="131" t="s">
        <v>273</v>
      </c>
      <c r="E30" s="133" t="s">
        <v>366</v>
      </c>
      <c r="F30" s="134" t="s">
        <v>274</v>
      </c>
      <c r="G30" s="135" t="s">
        <v>367</v>
      </c>
      <c r="H30" s="150">
        <v>46272</v>
      </c>
      <c r="I30" s="134"/>
      <c r="J30" s="150"/>
      <c r="K30" s="134" t="s">
        <v>368</v>
      </c>
      <c r="L30" s="137" t="s">
        <v>275</v>
      </c>
      <c r="M30" s="134"/>
      <c r="N30" s="150"/>
      <c r="O30" s="136" t="s">
        <v>389</v>
      </c>
      <c r="P30" s="150">
        <v>47567</v>
      </c>
      <c r="Q30" s="134" t="s">
        <v>276</v>
      </c>
      <c r="R30" s="154">
        <v>46434</v>
      </c>
      <c r="S30" s="150">
        <v>46109</v>
      </c>
    </row>
    <row r="31" spans="2:19" s="138" customFormat="1" ht="20.100000000000001" customHeight="1">
      <c r="B31" s="131">
        <v>21</v>
      </c>
      <c r="C31" s="132" t="s">
        <v>50</v>
      </c>
      <c r="D31" s="131" t="s">
        <v>393</v>
      </c>
      <c r="E31" s="133" t="s">
        <v>404</v>
      </c>
      <c r="F31" s="134" t="s">
        <v>274</v>
      </c>
      <c r="G31" s="135" t="s">
        <v>405</v>
      </c>
      <c r="H31" s="150">
        <v>48238</v>
      </c>
      <c r="I31" s="146"/>
      <c r="J31" s="150"/>
      <c r="K31" s="134" t="s">
        <v>441</v>
      </c>
      <c r="L31" s="137" t="s">
        <v>275</v>
      </c>
      <c r="M31" s="146" t="s">
        <v>43</v>
      </c>
      <c r="N31" s="150" t="s">
        <v>43</v>
      </c>
      <c r="O31" s="134" t="s">
        <v>433</v>
      </c>
      <c r="P31" s="150">
        <v>47224</v>
      </c>
      <c r="Q31" s="134" t="s">
        <v>276</v>
      </c>
      <c r="R31" s="154" t="s">
        <v>410</v>
      </c>
      <c r="S31" s="150">
        <v>46171</v>
      </c>
    </row>
    <row r="32" spans="2:19" s="138" customFormat="1" ht="20.100000000000001" customHeight="1">
      <c r="B32" s="131">
        <v>22</v>
      </c>
      <c r="C32" s="132" t="s">
        <v>322</v>
      </c>
      <c r="D32" s="131" t="s">
        <v>282</v>
      </c>
      <c r="E32" s="133" t="s">
        <v>323</v>
      </c>
      <c r="F32" s="134" t="s">
        <v>274</v>
      </c>
      <c r="G32" s="135" t="s">
        <v>324</v>
      </c>
      <c r="H32" s="150">
        <v>49088</v>
      </c>
      <c r="I32" s="134"/>
      <c r="J32" s="150"/>
      <c r="K32" s="134" t="s">
        <v>325</v>
      </c>
      <c r="L32" s="137" t="s">
        <v>275</v>
      </c>
      <c r="M32" s="134"/>
      <c r="N32" s="150"/>
      <c r="O32" s="139"/>
      <c r="P32" s="150"/>
      <c r="Q32" s="134"/>
      <c r="R32" s="154" t="s">
        <v>410</v>
      </c>
      <c r="S32" s="150">
        <v>46029</v>
      </c>
    </row>
    <row r="33" spans="2:30" s="138" customFormat="1" ht="20.100000000000001" customHeight="1">
      <c r="B33" s="131">
        <v>23</v>
      </c>
      <c r="C33" s="132" t="s">
        <v>392</v>
      </c>
      <c r="D33" s="131" t="s">
        <v>280</v>
      </c>
      <c r="E33" s="133" t="s">
        <v>327</v>
      </c>
      <c r="F33" s="134" t="s">
        <v>274</v>
      </c>
      <c r="G33" s="135" t="s">
        <v>328</v>
      </c>
      <c r="H33" s="150">
        <v>49092</v>
      </c>
      <c r="I33" s="134"/>
      <c r="J33" s="150"/>
      <c r="K33" s="134" t="s">
        <v>329</v>
      </c>
      <c r="L33" s="137" t="s">
        <v>275</v>
      </c>
      <c r="M33" s="134"/>
      <c r="N33" s="150"/>
      <c r="O33" s="134" t="s">
        <v>330</v>
      </c>
      <c r="P33" s="150">
        <v>47311</v>
      </c>
      <c r="Q33" s="134"/>
      <c r="R33" s="154" t="s">
        <v>410</v>
      </c>
      <c r="S33" s="150">
        <v>46029</v>
      </c>
    </row>
    <row r="34" spans="2:30" s="138" customFormat="1" ht="20.100000000000001" customHeight="1">
      <c r="B34" s="56">
        <v>24</v>
      </c>
      <c r="C34" s="69" t="s">
        <v>392</v>
      </c>
      <c r="D34" s="56" t="s">
        <v>273</v>
      </c>
      <c r="E34" s="70" t="s">
        <v>465</v>
      </c>
      <c r="F34" s="59" t="s">
        <v>274</v>
      </c>
      <c r="G34" s="61" t="s">
        <v>467</v>
      </c>
      <c r="H34" s="152">
        <v>49557</v>
      </c>
      <c r="I34" s="59"/>
      <c r="J34" s="152"/>
      <c r="K34" s="59" t="s">
        <v>469</v>
      </c>
      <c r="L34" s="137" t="s">
        <v>275</v>
      </c>
      <c r="M34" s="59"/>
      <c r="N34" s="185"/>
      <c r="O34" s="59" t="s">
        <v>481</v>
      </c>
      <c r="P34" s="152">
        <v>47549</v>
      </c>
      <c r="Q34" s="59"/>
      <c r="R34" s="154" t="s">
        <v>410</v>
      </c>
      <c r="S34" s="152">
        <v>46269</v>
      </c>
    </row>
    <row r="35" spans="2:30" s="138" customFormat="1" ht="20.100000000000001" customHeight="1">
      <c r="B35" s="56">
        <v>25</v>
      </c>
      <c r="C35" s="69" t="s">
        <v>392</v>
      </c>
      <c r="D35" s="56" t="s">
        <v>273</v>
      </c>
      <c r="E35" s="70" t="s">
        <v>466</v>
      </c>
      <c r="F35" s="59" t="s">
        <v>274</v>
      </c>
      <c r="G35" s="61" t="s">
        <v>468</v>
      </c>
      <c r="H35" s="152">
        <v>49561</v>
      </c>
      <c r="I35" s="59"/>
      <c r="J35" s="152"/>
      <c r="K35" s="59" t="s">
        <v>470</v>
      </c>
      <c r="L35" s="137" t="s">
        <v>275</v>
      </c>
      <c r="M35" s="59"/>
      <c r="N35" s="185"/>
      <c r="O35" s="59" t="s">
        <v>483</v>
      </c>
      <c r="P35" s="152">
        <v>47549</v>
      </c>
      <c r="Q35" s="59"/>
      <c r="R35" s="154" t="s">
        <v>410</v>
      </c>
      <c r="S35" s="152">
        <v>46269</v>
      </c>
    </row>
    <row r="36" spans="2:30" s="138" customFormat="1" ht="20.100000000000001" customHeight="1">
      <c r="B36" s="131">
        <v>26</v>
      </c>
      <c r="C36" s="132"/>
      <c r="D36" s="131"/>
      <c r="E36" s="133"/>
      <c r="F36" s="134"/>
      <c r="G36" s="135"/>
      <c r="H36" s="150"/>
      <c r="I36" s="134"/>
      <c r="J36" s="150"/>
      <c r="K36" s="134"/>
      <c r="L36" s="137"/>
      <c r="M36" s="134"/>
      <c r="N36" s="150"/>
      <c r="O36" s="134"/>
      <c r="P36" s="150"/>
      <c r="Q36" s="134"/>
      <c r="R36" s="150"/>
      <c r="S36" s="150"/>
    </row>
    <row r="37" spans="2:30" s="138" customFormat="1" ht="20.100000000000001" customHeight="1">
      <c r="B37" s="131">
        <v>27</v>
      </c>
      <c r="C37" s="132"/>
      <c r="D37" s="131"/>
      <c r="E37" s="133"/>
      <c r="F37" s="134"/>
      <c r="G37" s="135"/>
      <c r="H37" s="150"/>
      <c r="I37" s="134"/>
      <c r="J37" s="150"/>
      <c r="K37" s="134"/>
      <c r="L37" s="137"/>
      <c r="M37" s="134"/>
      <c r="N37" s="150"/>
      <c r="O37" s="134"/>
      <c r="P37" s="150"/>
      <c r="Q37" s="134"/>
      <c r="R37" s="150"/>
      <c r="S37" s="150"/>
    </row>
    <row r="38" spans="2:30" s="138" customFormat="1" ht="20.100000000000001" customHeight="1">
      <c r="B38" s="131">
        <v>28</v>
      </c>
      <c r="C38" s="132"/>
      <c r="D38" s="131"/>
      <c r="E38" s="133"/>
      <c r="F38" s="134"/>
      <c r="G38" s="135"/>
      <c r="H38" s="150"/>
      <c r="I38" s="134"/>
      <c r="J38" s="150"/>
      <c r="K38" s="134"/>
      <c r="L38" s="137"/>
      <c r="M38" s="134"/>
      <c r="N38" s="150"/>
      <c r="O38" s="134"/>
      <c r="P38" s="150"/>
      <c r="Q38" s="134"/>
      <c r="R38" s="150"/>
      <c r="S38" s="150"/>
    </row>
    <row r="39" spans="2:30" ht="20.100000000000001" customHeight="1">
      <c r="B39" s="56">
        <v>29</v>
      </c>
      <c r="C39" s="69"/>
      <c r="D39" s="56"/>
      <c r="E39" s="70"/>
      <c r="F39" s="59"/>
      <c r="G39" s="61"/>
      <c r="H39" s="152"/>
      <c r="I39" s="59"/>
      <c r="J39" s="152"/>
      <c r="K39" s="59"/>
      <c r="L39" s="123"/>
      <c r="M39" s="59"/>
      <c r="N39" s="152"/>
      <c r="O39" s="59"/>
      <c r="P39" s="152"/>
      <c r="Q39" s="59"/>
      <c r="R39" s="123"/>
      <c r="S39" s="123"/>
    </row>
    <row r="40" spans="2:30" ht="20.100000000000001" customHeight="1">
      <c r="B40" s="58"/>
      <c r="C40" s="58"/>
    </row>
    <row r="41" spans="2:30" ht="20.100000000000001" customHeight="1">
      <c r="Q41" s="116" t="s">
        <v>164</v>
      </c>
    </row>
    <row r="43" spans="2:30" ht="23.25">
      <c r="B43" s="90" t="s">
        <v>170</v>
      </c>
      <c r="C43" s="90"/>
      <c r="D43" s="90"/>
      <c r="E43" s="91"/>
      <c r="J43" s="208" t="s">
        <v>64</v>
      </c>
      <c r="K43" s="209"/>
      <c r="L43" s="210"/>
      <c r="M43" s="72"/>
      <c r="N43" s="72"/>
      <c r="S43" s="128" t="s">
        <v>167</v>
      </c>
      <c r="T43" s="72"/>
      <c r="U43" s="72"/>
      <c r="V43" s="72"/>
      <c r="W43" s="72"/>
      <c r="X43" s="72"/>
      <c r="Y43" s="72"/>
      <c r="Z43" s="72"/>
      <c r="AA43" s="72"/>
    </row>
    <row r="44" spans="2:30" ht="12" customHeight="1">
      <c r="B44" s="74"/>
      <c r="C44" s="74"/>
      <c r="D44" s="74"/>
      <c r="E44" s="72"/>
      <c r="H44" s="74"/>
      <c r="I44" s="74"/>
      <c r="J44" s="74"/>
      <c r="K44" s="72"/>
      <c r="L44" s="72"/>
      <c r="M44" s="72"/>
      <c r="N44" s="72"/>
      <c r="O44" s="72"/>
      <c r="P44" s="72"/>
      <c r="Q44" s="72"/>
      <c r="R44" s="72"/>
      <c r="S44" s="72"/>
      <c r="T44" s="72"/>
      <c r="U44" s="72"/>
      <c r="V44" s="72"/>
      <c r="W44" s="72"/>
      <c r="X44" s="72"/>
      <c r="Y44" s="72"/>
      <c r="Z44" s="72"/>
      <c r="AA44" s="72"/>
    </row>
    <row r="45" spans="2:30" ht="20.25">
      <c r="D45" s="77" t="s">
        <v>67</v>
      </c>
      <c r="E45" s="230" t="str">
        <f>E4</f>
        <v>NSU TRUST</v>
      </c>
      <c r="F45" s="230"/>
      <c r="G45" s="77" t="s">
        <v>66</v>
      </c>
      <c r="H45" s="236" t="s">
        <v>223</v>
      </c>
      <c r="I45" s="236"/>
      <c r="J45" s="88"/>
      <c r="P45" s="77"/>
      <c r="Q45" s="77" t="s">
        <v>68</v>
      </c>
      <c r="R45" s="217">
        <f>R4</f>
        <v>45936</v>
      </c>
      <c r="S45" s="217"/>
    </row>
    <row r="46" spans="2:30" ht="6.75" customHeight="1">
      <c r="E46" s="71"/>
      <c r="H46" s="75"/>
      <c r="AC46" s="76"/>
      <c r="AD46" s="76"/>
    </row>
    <row r="47" spans="2:30" s="97" customFormat="1" ht="20.100000000000001" customHeight="1">
      <c r="B47" s="96"/>
      <c r="C47" s="125" t="s">
        <v>95</v>
      </c>
      <c r="D47" s="125" t="s">
        <v>96</v>
      </c>
      <c r="E47" s="125" t="s">
        <v>97</v>
      </c>
      <c r="F47" s="125" t="s">
        <v>98</v>
      </c>
      <c r="G47" s="212" t="s">
        <v>99</v>
      </c>
      <c r="H47" s="213"/>
      <c r="I47" s="199"/>
      <c r="J47" s="212" t="s">
        <v>100</v>
      </c>
      <c r="K47" s="199"/>
      <c r="L47" s="212" t="s">
        <v>101</v>
      </c>
      <c r="M47" s="199"/>
      <c r="N47" s="212" t="s">
        <v>102</v>
      </c>
      <c r="O47" s="199"/>
      <c r="P47" s="212" t="s">
        <v>103</v>
      </c>
      <c r="Q47" s="199"/>
      <c r="R47" s="125" t="s">
        <v>147</v>
      </c>
      <c r="S47" s="125" t="s">
        <v>171</v>
      </c>
      <c r="AA47" s="98"/>
      <c r="AB47" s="98"/>
    </row>
    <row r="48" spans="2:30" ht="25.5" customHeight="1">
      <c r="B48" s="57"/>
      <c r="C48" s="222" t="s">
        <v>51</v>
      </c>
      <c r="D48" s="225" t="s">
        <v>52</v>
      </c>
      <c r="E48" s="226"/>
      <c r="F48" s="222" t="s">
        <v>59</v>
      </c>
      <c r="G48" s="214" t="s">
        <v>53</v>
      </c>
      <c r="H48" s="214" t="s">
        <v>140</v>
      </c>
      <c r="I48" s="214" t="s">
        <v>208</v>
      </c>
      <c r="J48" s="216" t="s">
        <v>71</v>
      </c>
      <c r="K48" s="198"/>
      <c r="L48" s="198"/>
      <c r="M48" s="198"/>
      <c r="N48" s="198"/>
      <c r="O48" s="198"/>
      <c r="P48" s="198"/>
      <c r="Q48" s="198"/>
      <c r="R48" s="199"/>
      <c r="S48" s="119" t="s">
        <v>199</v>
      </c>
    </row>
    <row r="49" spans="2:19" ht="20.100000000000001" customHeight="1">
      <c r="B49" s="67"/>
      <c r="C49" s="223"/>
      <c r="D49" s="222" t="s">
        <v>57</v>
      </c>
      <c r="E49" s="222" t="s">
        <v>58</v>
      </c>
      <c r="F49" s="223"/>
      <c r="G49" s="215"/>
      <c r="H49" s="215"/>
      <c r="I49" s="215"/>
      <c r="J49" s="216" t="s">
        <v>73</v>
      </c>
      <c r="K49" s="199"/>
      <c r="L49" s="225" t="s">
        <v>77</v>
      </c>
      <c r="M49" s="231"/>
      <c r="N49" s="231"/>
      <c r="O49" s="231"/>
      <c r="P49" s="231"/>
      <c r="Q49" s="232"/>
      <c r="R49" s="214" t="s">
        <v>83</v>
      </c>
      <c r="S49" s="127" t="s">
        <v>200</v>
      </c>
    </row>
    <row r="50" spans="2:19" ht="20.100000000000001" customHeight="1">
      <c r="B50" s="67"/>
      <c r="C50" s="223"/>
      <c r="D50" s="223"/>
      <c r="E50" s="223"/>
      <c r="F50" s="223"/>
      <c r="G50" s="215"/>
      <c r="H50" s="215"/>
      <c r="I50" s="215"/>
      <c r="J50" s="62" t="s">
        <v>74</v>
      </c>
      <c r="K50" s="126" t="s">
        <v>84</v>
      </c>
      <c r="L50" s="220" t="s">
        <v>78</v>
      </c>
      <c r="M50" s="221"/>
      <c r="N50" s="220" t="s">
        <v>79</v>
      </c>
      <c r="O50" s="221"/>
      <c r="P50" s="220" t="s">
        <v>81</v>
      </c>
      <c r="Q50" s="221"/>
      <c r="R50" s="227"/>
      <c r="S50" s="127" t="s">
        <v>201</v>
      </c>
    </row>
    <row r="51" spans="2:19" ht="20.100000000000001" customHeight="1">
      <c r="B51" s="67"/>
      <c r="C51" s="223"/>
      <c r="D51" s="223"/>
      <c r="E51" s="223"/>
      <c r="F51" s="223"/>
      <c r="G51" s="215"/>
      <c r="H51" s="215"/>
      <c r="I51" s="215"/>
      <c r="J51" s="68"/>
      <c r="K51" s="84"/>
      <c r="L51" s="218" t="s">
        <v>148</v>
      </c>
      <c r="M51" s="219"/>
      <c r="N51" s="218" t="s">
        <v>80</v>
      </c>
      <c r="O51" s="219"/>
      <c r="P51" s="218" t="s">
        <v>82</v>
      </c>
      <c r="Q51" s="219"/>
      <c r="R51" s="227"/>
      <c r="S51" s="129"/>
    </row>
    <row r="52" spans="2:19" ht="20.100000000000001" customHeight="1">
      <c r="B52" s="60"/>
      <c r="C52" s="224"/>
      <c r="D52" s="224"/>
      <c r="E52" s="224"/>
      <c r="F52" s="224"/>
      <c r="G52" s="163" t="s">
        <v>239</v>
      </c>
      <c r="H52" s="163" t="s">
        <v>240</v>
      </c>
      <c r="I52" s="163" t="s">
        <v>239</v>
      </c>
      <c r="J52" s="83" t="s">
        <v>75</v>
      </c>
      <c r="K52" s="66" t="s">
        <v>75</v>
      </c>
      <c r="L52" s="79" t="s">
        <v>75</v>
      </c>
      <c r="M52" s="66" t="s">
        <v>76</v>
      </c>
      <c r="N52" s="79" t="s">
        <v>75</v>
      </c>
      <c r="O52" s="66" t="s">
        <v>76</v>
      </c>
      <c r="P52" s="79" t="s">
        <v>75</v>
      </c>
      <c r="Q52" s="66" t="s">
        <v>76</v>
      </c>
      <c r="R52" s="83" t="s">
        <v>75</v>
      </c>
      <c r="S52" s="83" t="s">
        <v>75</v>
      </c>
    </row>
    <row r="53" spans="2:19" s="138" customFormat="1" ht="20.100000000000001" customHeight="1">
      <c r="B53" s="131">
        <v>1</v>
      </c>
      <c r="C53" s="142" t="str">
        <f t="shared" ref="C53:F55" si="0">IF(C11="","",C11)</f>
        <v>MASTER</v>
      </c>
      <c r="D53" s="131" t="str">
        <f t="shared" si="0"/>
        <v>NGUYEN</v>
      </c>
      <c r="E53" s="133" t="str">
        <f t="shared" si="0"/>
        <v>THANH VIET</v>
      </c>
      <c r="F53" s="134" t="str">
        <f t="shared" si="0"/>
        <v>VIETNAMESE</v>
      </c>
      <c r="G53" s="164">
        <v>30961</v>
      </c>
      <c r="H53" s="164">
        <v>45770</v>
      </c>
      <c r="I53" s="150">
        <v>46075</v>
      </c>
      <c r="J53" s="134" t="s">
        <v>381</v>
      </c>
      <c r="K53" s="134" t="s">
        <v>369</v>
      </c>
      <c r="L53" s="134" t="s">
        <v>382</v>
      </c>
      <c r="M53" s="150">
        <v>47574</v>
      </c>
      <c r="N53" s="134" t="s">
        <v>383</v>
      </c>
      <c r="O53" s="150">
        <v>47574</v>
      </c>
      <c r="P53" s="134" t="s">
        <v>384</v>
      </c>
      <c r="Q53" s="150">
        <v>47574</v>
      </c>
      <c r="R53" s="134" t="s">
        <v>385</v>
      </c>
      <c r="S53" s="132" t="s">
        <v>386</v>
      </c>
    </row>
    <row r="54" spans="2:19" s="138" customFormat="1" ht="20.100000000000001" customHeight="1">
      <c r="B54" s="131">
        <v>2</v>
      </c>
      <c r="C54" s="132" t="str">
        <f t="shared" si="0"/>
        <v>C/O</v>
      </c>
      <c r="D54" s="131" t="str">
        <f t="shared" si="0"/>
        <v>NGUYEN</v>
      </c>
      <c r="E54" s="131" t="str">
        <f t="shared" si="0"/>
        <v>HUY TUNG</v>
      </c>
      <c r="F54" s="132" t="str">
        <f t="shared" si="0"/>
        <v>VIETNAMESE</v>
      </c>
      <c r="G54" s="152">
        <v>32468</v>
      </c>
      <c r="H54" s="162">
        <v>45936</v>
      </c>
      <c r="I54" s="152">
        <v>46239</v>
      </c>
      <c r="J54" s="59" t="s">
        <v>474</v>
      </c>
      <c r="K54" s="61" t="s">
        <v>480</v>
      </c>
      <c r="L54" s="61" t="s">
        <v>475</v>
      </c>
      <c r="M54" s="152">
        <v>47601</v>
      </c>
      <c r="N54" s="61" t="s">
        <v>476</v>
      </c>
      <c r="O54" s="152">
        <v>47611</v>
      </c>
      <c r="P54" s="61" t="s">
        <v>478</v>
      </c>
      <c r="Q54" s="152">
        <v>47611</v>
      </c>
      <c r="R54" s="61" t="s">
        <v>479</v>
      </c>
      <c r="S54" s="69" t="s">
        <v>477</v>
      </c>
    </row>
    <row r="55" spans="2:19" s="138" customFormat="1" ht="20.100000000000001" customHeight="1">
      <c r="B55" s="131">
        <v>3</v>
      </c>
      <c r="C55" s="132" t="str">
        <f t="shared" si="0"/>
        <v>2/O</v>
      </c>
      <c r="D55" s="131" t="str">
        <f t="shared" si="0"/>
        <v xml:space="preserve">NGUYEN </v>
      </c>
      <c r="E55" s="133" t="str">
        <f t="shared" si="0"/>
        <v xml:space="preserve">HAI TRUONG </v>
      </c>
      <c r="F55" s="134" t="str">
        <f t="shared" si="0"/>
        <v>VIETNAMESE</v>
      </c>
      <c r="G55" s="150">
        <v>36115</v>
      </c>
      <c r="H55" s="164">
        <v>45717</v>
      </c>
      <c r="I55" s="150">
        <v>46019</v>
      </c>
      <c r="J55" s="135" t="s">
        <v>290</v>
      </c>
      <c r="K55" s="135" t="s">
        <v>333</v>
      </c>
      <c r="L55" s="135" t="s">
        <v>291</v>
      </c>
      <c r="M55" s="150">
        <v>47007</v>
      </c>
      <c r="N55" s="135" t="s">
        <v>331</v>
      </c>
      <c r="O55" s="150">
        <v>47483</v>
      </c>
      <c r="P55" s="135" t="s">
        <v>332</v>
      </c>
      <c r="Q55" s="150">
        <v>47483</v>
      </c>
      <c r="R55" s="135" t="s">
        <v>292</v>
      </c>
      <c r="S55" s="132" t="s">
        <v>443</v>
      </c>
    </row>
    <row r="56" spans="2:19" s="138" customFormat="1" ht="20.100000000000001" customHeight="1">
      <c r="B56" s="131">
        <v>4</v>
      </c>
      <c r="C56" s="132" t="str">
        <f t="shared" ref="C56:F74" si="1">IF(C14="","",C14)</f>
        <v>3/O</v>
      </c>
      <c r="D56" s="131" t="str">
        <f t="shared" si="1"/>
        <v xml:space="preserve">TRAN </v>
      </c>
      <c r="E56" s="133" t="str">
        <f t="shared" si="1"/>
        <v>VIET TOAN</v>
      </c>
      <c r="F56" s="134" t="str">
        <f t="shared" si="1"/>
        <v>VIETNAMESE</v>
      </c>
      <c r="G56" s="150">
        <v>36803</v>
      </c>
      <c r="H56" s="164">
        <v>45833</v>
      </c>
      <c r="I56" s="150">
        <v>46136</v>
      </c>
      <c r="J56" s="135" t="s">
        <v>409</v>
      </c>
      <c r="K56" s="135" t="s">
        <v>410</v>
      </c>
      <c r="L56" s="135" t="s">
        <v>415</v>
      </c>
      <c r="M56" s="150">
        <v>47638</v>
      </c>
      <c r="N56" s="135" t="s">
        <v>414</v>
      </c>
      <c r="O56" s="150">
        <v>46656</v>
      </c>
      <c r="P56" s="135" t="s">
        <v>412</v>
      </c>
      <c r="Q56" s="150">
        <v>46656</v>
      </c>
      <c r="R56" s="135" t="s">
        <v>411</v>
      </c>
      <c r="S56" s="132" t="s">
        <v>413</v>
      </c>
    </row>
    <row r="57" spans="2:19" ht="20.100000000000001" customHeight="1">
      <c r="B57" s="56">
        <v>5</v>
      </c>
      <c r="C57" s="69" t="str">
        <f t="shared" si="1"/>
        <v>C/E</v>
      </c>
      <c r="D57" s="56" t="str">
        <f>D15</f>
        <v>NGUYEN</v>
      </c>
      <c r="E57" s="70" t="str">
        <f>E15</f>
        <v>THANH TRUNG</v>
      </c>
      <c r="F57" s="59" t="str">
        <f t="shared" si="1"/>
        <v>VIETNAMESE</v>
      </c>
      <c r="G57" s="152">
        <v>29729</v>
      </c>
      <c r="H57" s="162">
        <v>45894</v>
      </c>
      <c r="I57" s="152">
        <v>46197</v>
      </c>
      <c r="J57" s="61"/>
      <c r="K57" s="61"/>
      <c r="L57" s="61" t="s">
        <v>454</v>
      </c>
      <c r="M57" s="152">
        <v>47581</v>
      </c>
      <c r="N57" s="61" t="s">
        <v>455</v>
      </c>
      <c r="O57" s="152">
        <v>47140</v>
      </c>
      <c r="P57" s="61" t="s">
        <v>456</v>
      </c>
      <c r="Q57" s="152">
        <v>47140</v>
      </c>
      <c r="R57" s="61" t="s">
        <v>457</v>
      </c>
      <c r="S57" s="69" t="s">
        <v>458</v>
      </c>
    </row>
    <row r="58" spans="2:19" s="138" customFormat="1" ht="20.100000000000001" customHeight="1">
      <c r="B58" s="131">
        <v>6</v>
      </c>
      <c r="C58" s="132" t="str">
        <f t="shared" si="1"/>
        <v xml:space="preserve"> 2/E</v>
      </c>
      <c r="D58" s="131" t="str">
        <f t="shared" si="1"/>
        <v xml:space="preserve">DOAN </v>
      </c>
      <c r="E58" s="133" t="str">
        <f t="shared" si="1"/>
        <v xml:space="preserve">VAN CUONG </v>
      </c>
      <c r="F58" s="134" t="str">
        <f t="shared" si="1"/>
        <v>VIETNAMESE</v>
      </c>
      <c r="G58" s="150">
        <v>33080</v>
      </c>
      <c r="H58" s="164">
        <v>45717</v>
      </c>
      <c r="I58" s="150">
        <v>46019</v>
      </c>
      <c r="J58" s="135"/>
      <c r="K58" s="135"/>
      <c r="L58" s="135" t="s">
        <v>299</v>
      </c>
      <c r="M58" s="150">
        <v>47475</v>
      </c>
      <c r="N58" s="135" t="s">
        <v>300</v>
      </c>
      <c r="O58" s="150">
        <v>47475</v>
      </c>
      <c r="P58" s="135" t="s">
        <v>301</v>
      </c>
      <c r="Q58" s="150">
        <v>47475</v>
      </c>
      <c r="R58" s="135" t="s">
        <v>302</v>
      </c>
      <c r="S58" s="132" t="s">
        <v>444</v>
      </c>
    </row>
    <row r="59" spans="2:19" s="138" customFormat="1" ht="20.100000000000001" customHeight="1">
      <c r="B59" s="131">
        <v>7</v>
      </c>
      <c r="C59" s="132" t="str">
        <f t="shared" si="1"/>
        <v>3/E</v>
      </c>
      <c r="D59" s="131" t="str">
        <f t="shared" si="1"/>
        <v xml:space="preserve">NGUYEN </v>
      </c>
      <c r="E59" s="133" t="str">
        <f t="shared" si="1"/>
        <v xml:space="preserve">THE DAT </v>
      </c>
      <c r="F59" s="134" t="str">
        <f t="shared" si="1"/>
        <v>VIETNAMESE</v>
      </c>
      <c r="G59" s="150">
        <v>34794</v>
      </c>
      <c r="H59" s="164">
        <v>45717</v>
      </c>
      <c r="I59" s="150">
        <v>46019</v>
      </c>
      <c r="J59" s="135"/>
      <c r="K59" s="135"/>
      <c r="L59" s="135" t="s">
        <v>308</v>
      </c>
      <c r="M59" s="150">
        <v>47022</v>
      </c>
      <c r="N59" s="135" t="s">
        <v>309</v>
      </c>
      <c r="O59" s="150">
        <v>46616</v>
      </c>
      <c r="P59" s="135" t="s">
        <v>310</v>
      </c>
      <c r="Q59" s="150">
        <v>46616</v>
      </c>
      <c r="R59" s="135" t="s">
        <v>311</v>
      </c>
      <c r="S59" s="132" t="s">
        <v>312</v>
      </c>
    </row>
    <row r="60" spans="2:19" s="138" customFormat="1" ht="20.100000000000001" customHeight="1">
      <c r="B60" s="131">
        <v>8</v>
      </c>
      <c r="C60" s="132" t="str">
        <f t="shared" si="1"/>
        <v xml:space="preserve"> 4/E</v>
      </c>
      <c r="D60" s="131" t="str">
        <f t="shared" si="1"/>
        <v xml:space="preserve">DO </v>
      </c>
      <c r="E60" s="133" t="str">
        <f t="shared" si="1"/>
        <v>ANH MINH</v>
      </c>
      <c r="F60" s="134" t="str">
        <f t="shared" si="1"/>
        <v>VIETNAMESE</v>
      </c>
      <c r="G60" s="150">
        <v>36924</v>
      </c>
      <c r="H60" s="164">
        <v>45833</v>
      </c>
      <c r="I60" s="150">
        <v>46136</v>
      </c>
      <c r="J60" s="135"/>
      <c r="K60" s="135"/>
      <c r="L60" s="135" t="s">
        <v>418</v>
      </c>
      <c r="M60" s="150">
        <v>46355</v>
      </c>
      <c r="N60" s="135" t="s">
        <v>419</v>
      </c>
      <c r="O60" s="150">
        <v>47491</v>
      </c>
      <c r="P60" s="135" t="s">
        <v>420</v>
      </c>
      <c r="Q60" s="150">
        <v>47487</v>
      </c>
      <c r="R60" s="135" t="s">
        <v>422</v>
      </c>
      <c r="S60" s="132" t="s">
        <v>421</v>
      </c>
    </row>
    <row r="61" spans="2:19" s="138" customFormat="1" ht="20.100000000000001" customHeight="1">
      <c r="B61" s="131">
        <v>9</v>
      </c>
      <c r="C61" s="132" t="str">
        <f t="shared" si="1"/>
        <v>BSN</v>
      </c>
      <c r="D61" s="131" t="str">
        <f t="shared" si="1"/>
        <v xml:space="preserve">LE </v>
      </c>
      <c r="E61" s="133" t="str">
        <f t="shared" si="1"/>
        <v>VAN LINH</v>
      </c>
      <c r="F61" s="134" t="str">
        <f t="shared" si="1"/>
        <v>VIETNAMESE</v>
      </c>
      <c r="G61" s="150">
        <v>24597</v>
      </c>
      <c r="H61" s="164">
        <v>45770</v>
      </c>
      <c r="I61" s="150">
        <v>46075</v>
      </c>
      <c r="J61" s="135"/>
      <c r="K61" s="135"/>
      <c r="L61" s="135" t="s">
        <v>370</v>
      </c>
      <c r="M61" s="150">
        <v>46294</v>
      </c>
      <c r="N61" s="135" t="s">
        <v>371</v>
      </c>
      <c r="O61" s="150">
        <v>46294</v>
      </c>
      <c r="P61" s="135"/>
      <c r="Q61" s="164"/>
      <c r="R61" s="135"/>
      <c r="S61" s="135" t="s">
        <v>370</v>
      </c>
    </row>
    <row r="62" spans="2:19" s="138" customFormat="1" ht="20.100000000000001" customHeight="1">
      <c r="B62" s="131">
        <v>10</v>
      </c>
      <c r="C62" s="132" t="str">
        <f t="shared" si="1"/>
        <v>A/B</v>
      </c>
      <c r="D62" s="131" t="str">
        <f t="shared" si="1"/>
        <v>NGUYEN</v>
      </c>
      <c r="E62" s="133" t="str">
        <f t="shared" si="1"/>
        <v>QUANG THUY</v>
      </c>
      <c r="F62" s="134" t="str">
        <f t="shared" si="1"/>
        <v>VIETNAMESE</v>
      </c>
      <c r="G62" s="150">
        <v>30076</v>
      </c>
      <c r="H62" s="164">
        <v>45770</v>
      </c>
      <c r="I62" s="150">
        <v>46075</v>
      </c>
      <c r="J62" s="135"/>
      <c r="K62" s="135"/>
      <c r="L62" s="135" t="s">
        <v>372</v>
      </c>
      <c r="M62" s="150">
        <v>46891</v>
      </c>
      <c r="N62" s="135" t="s">
        <v>373</v>
      </c>
      <c r="O62" s="150">
        <v>46406</v>
      </c>
      <c r="P62" s="135"/>
      <c r="Q62" s="164"/>
      <c r="R62" s="135"/>
      <c r="S62" s="135" t="s">
        <v>372</v>
      </c>
    </row>
    <row r="63" spans="2:19" s="138" customFormat="1" ht="20.100000000000001" customHeight="1">
      <c r="B63" s="131">
        <v>11</v>
      </c>
      <c r="C63" s="132" t="str">
        <f t="shared" si="1"/>
        <v>A/B</v>
      </c>
      <c r="D63" s="131" t="str">
        <f t="shared" si="1"/>
        <v>NGUYEN</v>
      </c>
      <c r="E63" s="133" t="str">
        <f t="shared" si="1"/>
        <v xml:space="preserve">VAN CUONG </v>
      </c>
      <c r="F63" s="134" t="str">
        <f t="shared" si="1"/>
        <v>VIETNAMESE</v>
      </c>
      <c r="G63" s="150">
        <v>29331</v>
      </c>
      <c r="H63" s="164">
        <v>45833</v>
      </c>
      <c r="I63" s="150">
        <v>46136</v>
      </c>
      <c r="J63" s="135"/>
      <c r="K63" s="135"/>
      <c r="L63" s="135" t="s">
        <v>424</v>
      </c>
      <c r="M63" s="150">
        <v>47534</v>
      </c>
      <c r="N63" s="135" t="s">
        <v>425</v>
      </c>
      <c r="O63" s="150">
        <v>47534</v>
      </c>
      <c r="P63" s="135" t="s">
        <v>445</v>
      </c>
      <c r="Q63" s="164">
        <v>47534</v>
      </c>
      <c r="R63" s="135"/>
      <c r="S63" s="135" t="s">
        <v>426</v>
      </c>
    </row>
    <row r="64" spans="2:19" s="138" customFormat="1" ht="20.100000000000001" customHeight="1">
      <c r="B64" s="131">
        <v>12</v>
      </c>
      <c r="C64" s="132" t="str">
        <f t="shared" si="1"/>
        <v>A/B</v>
      </c>
      <c r="D64" s="131" t="str">
        <f t="shared" si="1"/>
        <v>NGUYEN</v>
      </c>
      <c r="E64" s="133" t="str">
        <f t="shared" si="1"/>
        <v>VAN BINH</v>
      </c>
      <c r="F64" s="134" t="str">
        <f t="shared" si="1"/>
        <v>VIETNAMESE</v>
      </c>
      <c r="G64" s="150">
        <v>35735</v>
      </c>
      <c r="H64" s="164">
        <v>45770</v>
      </c>
      <c r="I64" s="150">
        <v>46075</v>
      </c>
      <c r="J64" s="135"/>
      <c r="K64" s="135"/>
      <c r="L64" s="135" t="s">
        <v>374</v>
      </c>
      <c r="M64" s="150">
        <v>47004</v>
      </c>
      <c r="N64" s="135" t="s">
        <v>387</v>
      </c>
      <c r="O64" s="150">
        <v>46174</v>
      </c>
      <c r="P64" s="135"/>
      <c r="Q64" s="164"/>
      <c r="R64" s="135"/>
      <c r="S64" s="135" t="s">
        <v>374</v>
      </c>
    </row>
    <row r="65" spans="2:19" ht="20.100000000000001" customHeight="1">
      <c r="B65" s="56">
        <v>13</v>
      </c>
      <c r="C65" s="69" t="str">
        <f t="shared" si="1"/>
        <v>O/S</v>
      </c>
      <c r="D65" s="56" t="str">
        <f t="shared" si="1"/>
        <v>NGUYEN</v>
      </c>
      <c r="E65" s="70" t="str">
        <f t="shared" si="1"/>
        <v>VAN MONG</v>
      </c>
      <c r="F65" s="59" t="str">
        <f t="shared" si="1"/>
        <v>VIETNAMESE</v>
      </c>
      <c r="G65" s="152">
        <v>33473</v>
      </c>
      <c r="H65" s="162">
        <v>45894</v>
      </c>
      <c r="I65" s="152">
        <v>46197</v>
      </c>
      <c r="J65" s="61"/>
      <c r="K65" s="61"/>
      <c r="L65" s="61" t="s">
        <v>460</v>
      </c>
      <c r="M65" s="152">
        <v>46402</v>
      </c>
      <c r="N65" s="61" t="s">
        <v>461</v>
      </c>
      <c r="O65" s="152">
        <v>46587</v>
      </c>
      <c r="P65" s="61"/>
      <c r="Q65" s="162"/>
      <c r="R65" s="61"/>
      <c r="S65" s="61" t="s">
        <v>460</v>
      </c>
    </row>
    <row r="66" spans="2:19" s="138" customFormat="1" ht="20.100000000000001" customHeight="1">
      <c r="B66" s="131">
        <v>14</v>
      </c>
      <c r="C66" s="132" t="str">
        <f t="shared" si="1"/>
        <v>O/S</v>
      </c>
      <c r="D66" s="131" t="str">
        <f t="shared" si="1"/>
        <v>HOANG</v>
      </c>
      <c r="E66" s="133" t="str">
        <f t="shared" si="1"/>
        <v>TRONG HAN</v>
      </c>
      <c r="F66" s="134" t="str">
        <f t="shared" si="1"/>
        <v>VIETNAMESE</v>
      </c>
      <c r="G66" s="150">
        <v>32474</v>
      </c>
      <c r="H66" s="164">
        <v>45770</v>
      </c>
      <c r="I66" s="150">
        <v>46075</v>
      </c>
      <c r="J66" s="135"/>
      <c r="K66" s="135"/>
      <c r="L66" s="135" t="s">
        <v>375</v>
      </c>
      <c r="M66" s="150">
        <v>46792</v>
      </c>
      <c r="N66" s="135" t="s">
        <v>376</v>
      </c>
      <c r="O66" s="150">
        <v>46945</v>
      </c>
      <c r="P66" s="135"/>
      <c r="Q66" s="164"/>
      <c r="R66" s="135"/>
      <c r="S66" s="135" t="s">
        <v>375</v>
      </c>
    </row>
    <row r="67" spans="2:19" s="138" customFormat="1" ht="20.100000000000001" customHeight="1">
      <c r="B67" s="131">
        <v>15</v>
      </c>
      <c r="C67" s="132" t="str">
        <f t="shared" si="1"/>
        <v>D/B</v>
      </c>
      <c r="D67" s="131" t="str">
        <f t="shared" si="1"/>
        <v xml:space="preserve">TRAN </v>
      </c>
      <c r="E67" s="133" t="str">
        <f t="shared" si="1"/>
        <v>QUANG HA</v>
      </c>
      <c r="F67" s="134" t="str">
        <f t="shared" si="1"/>
        <v>VIETNAMESE</v>
      </c>
      <c r="G67" s="150">
        <v>37946</v>
      </c>
      <c r="H67" s="164">
        <v>45833</v>
      </c>
      <c r="I67" s="150">
        <v>46136</v>
      </c>
      <c r="J67" s="135"/>
      <c r="K67" s="135"/>
      <c r="L67" s="135" t="s">
        <v>428</v>
      </c>
      <c r="M67" s="150">
        <v>47209</v>
      </c>
      <c r="N67" s="135" t="s">
        <v>429</v>
      </c>
      <c r="O67" s="150">
        <v>47543</v>
      </c>
      <c r="P67" s="135"/>
      <c r="Q67" s="164"/>
      <c r="R67" s="135"/>
      <c r="S67" s="135" t="s">
        <v>428</v>
      </c>
    </row>
    <row r="68" spans="2:19" s="138" customFormat="1" ht="20.100000000000001" customHeight="1">
      <c r="B68" s="131">
        <v>16</v>
      </c>
      <c r="C68" s="132" t="str">
        <f t="shared" si="1"/>
        <v>#1OLR</v>
      </c>
      <c r="D68" s="131" t="str">
        <f t="shared" si="1"/>
        <v xml:space="preserve">CAO </v>
      </c>
      <c r="E68" s="133" t="str">
        <f t="shared" si="1"/>
        <v xml:space="preserve">DANG TUYEN </v>
      </c>
      <c r="F68" s="134" t="str">
        <f t="shared" si="1"/>
        <v>VIETNAMESE</v>
      </c>
      <c r="G68" s="150">
        <v>32716</v>
      </c>
      <c r="H68" s="164">
        <v>45717</v>
      </c>
      <c r="I68" s="150">
        <v>46019</v>
      </c>
      <c r="J68" s="135"/>
      <c r="K68" s="135"/>
      <c r="L68" s="135" t="s">
        <v>318</v>
      </c>
      <c r="M68" s="150">
        <v>46967</v>
      </c>
      <c r="N68" s="135" t="s">
        <v>319</v>
      </c>
      <c r="O68" s="150">
        <v>46160</v>
      </c>
      <c r="P68" s="135" t="s">
        <v>320</v>
      </c>
      <c r="Q68" s="150">
        <v>46161</v>
      </c>
      <c r="R68" s="135"/>
      <c r="S68" s="135" t="s">
        <v>321</v>
      </c>
    </row>
    <row r="69" spans="2:19" s="138" customFormat="1" ht="20.100000000000001" customHeight="1">
      <c r="B69" s="131">
        <v>17</v>
      </c>
      <c r="C69" s="132" t="str">
        <f t="shared" si="1"/>
        <v>OLR</v>
      </c>
      <c r="D69" s="131" t="str">
        <f t="shared" si="1"/>
        <v>PHAN</v>
      </c>
      <c r="E69" s="133" t="str">
        <f t="shared" si="1"/>
        <v>VAN DUC</v>
      </c>
      <c r="F69" s="134" t="str">
        <f t="shared" si="1"/>
        <v>VIETNAMESE</v>
      </c>
      <c r="G69" s="150">
        <v>34790</v>
      </c>
      <c r="H69" s="164">
        <v>45770</v>
      </c>
      <c r="I69" s="150">
        <v>46075</v>
      </c>
      <c r="J69" s="135"/>
      <c r="K69" s="135"/>
      <c r="L69" s="135" t="s">
        <v>377</v>
      </c>
      <c r="M69" s="150">
        <v>47004</v>
      </c>
      <c r="N69" s="135" t="s">
        <v>378</v>
      </c>
      <c r="O69" s="150">
        <v>47400</v>
      </c>
      <c r="P69" s="135"/>
      <c r="Q69" s="165"/>
      <c r="R69" s="135"/>
      <c r="S69" s="135" t="s">
        <v>377</v>
      </c>
    </row>
    <row r="70" spans="2:19" s="138" customFormat="1" ht="20.100000000000001" customHeight="1">
      <c r="B70" s="131">
        <v>18</v>
      </c>
      <c r="C70" s="132" t="str">
        <f t="shared" si="1"/>
        <v>OLR</v>
      </c>
      <c r="D70" s="131" t="str">
        <f t="shared" si="1"/>
        <v>TO</v>
      </c>
      <c r="E70" s="133" t="str">
        <f t="shared" si="1"/>
        <v>TRUNG HIEU</v>
      </c>
      <c r="F70" s="134" t="str">
        <f t="shared" si="1"/>
        <v>VIETNAMESE</v>
      </c>
      <c r="G70" s="150">
        <v>37187</v>
      </c>
      <c r="H70" s="164">
        <v>45833</v>
      </c>
      <c r="I70" s="150">
        <v>46136</v>
      </c>
      <c r="J70" s="135"/>
      <c r="K70" s="135"/>
      <c r="L70" s="135" t="s">
        <v>431</v>
      </c>
      <c r="M70" s="150">
        <v>46454</v>
      </c>
      <c r="N70" s="135" t="s">
        <v>432</v>
      </c>
      <c r="O70" s="150">
        <v>46671</v>
      </c>
      <c r="P70" s="135"/>
      <c r="Q70" s="164"/>
      <c r="R70" s="135"/>
      <c r="S70" s="135" t="s">
        <v>431</v>
      </c>
    </row>
    <row r="71" spans="2:19" s="138" customFormat="1" ht="20.100000000000001" customHeight="1">
      <c r="B71" s="131">
        <v>19</v>
      </c>
      <c r="C71" s="132" t="str">
        <f t="shared" si="1"/>
        <v>WPR</v>
      </c>
      <c r="D71" s="131" t="str">
        <f t="shared" si="1"/>
        <v>BUI</v>
      </c>
      <c r="E71" s="133" t="str">
        <f t="shared" si="1"/>
        <v>TUAN ANH</v>
      </c>
      <c r="F71" s="134" t="str">
        <f t="shared" si="1"/>
        <v>VIETNAMESE</v>
      </c>
      <c r="G71" s="150">
        <v>34632</v>
      </c>
      <c r="H71" s="164">
        <v>45770</v>
      </c>
      <c r="I71" s="150">
        <v>46075</v>
      </c>
      <c r="J71" s="135"/>
      <c r="K71" s="135"/>
      <c r="L71" s="135" t="s">
        <v>379</v>
      </c>
      <c r="M71" s="150">
        <v>47475</v>
      </c>
      <c r="N71" s="135" t="s">
        <v>380</v>
      </c>
      <c r="O71" s="150">
        <v>47475</v>
      </c>
      <c r="P71" s="135"/>
      <c r="Q71" s="164"/>
      <c r="R71" s="135"/>
      <c r="S71" s="135" t="s">
        <v>379</v>
      </c>
    </row>
    <row r="72" spans="2:19" s="138" customFormat="1" ht="20.100000000000001" customHeight="1">
      <c r="B72" s="131">
        <v>20</v>
      </c>
      <c r="C72" s="132" t="str">
        <f t="shared" si="1"/>
        <v>C/CK</v>
      </c>
      <c r="D72" s="131" t="str">
        <f t="shared" si="1"/>
        <v>NGUYEN</v>
      </c>
      <c r="E72" s="133" t="str">
        <f t="shared" si="1"/>
        <v>DUY HIEU</v>
      </c>
      <c r="F72" s="134" t="str">
        <f t="shared" si="1"/>
        <v>VIETNAMESE</v>
      </c>
      <c r="G72" s="150">
        <v>34168</v>
      </c>
      <c r="H72" s="164">
        <v>45770</v>
      </c>
      <c r="I72" s="150">
        <v>46075</v>
      </c>
      <c r="J72" s="135"/>
      <c r="K72" s="135"/>
      <c r="L72" s="135" t="s">
        <v>391</v>
      </c>
      <c r="M72" s="150">
        <v>47567</v>
      </c>
      <c r="N72" s="135" t="s">
        <v>390</v>
      </c>
      <c r="O72" s="150">
        <v>47567</v>
      </c>
      <c r="P72" s="135"/>
      <c r="Q72" s="164"/>
      <c r="R72" s="135"/>
      <c r="S72" s="135" t="s">
        <v>391</v>
      </c>
    </row>
    <row r="73" spans="2:19" s="138" customFormat="1" ht="20.100000000000001" customHeight="1">
      <c r="B73" s="131">
        <v>21</v>
      </c>
      <c r="C73" s="132" t="str">
        <f t="shared" si="1"/>
        <v>M/M</v>
      </c>
      <c r="D73" s="131" t="str">
        <f t="shared" si="1"/>
        <v xml:space="preserve">TRAN </v>
      </c>
      <c r="E73" s="133" t="str">
        <f t="shared" si="1"/>
        <v>VAN HOAN</v>
      </c>
      <c r="F73" s="134" t="str">
        <f t="shared" si="1"/>
        <v>VIETNAMESE</v>
      </c>
      <c r="G73" s="150">
        <v>31187</v>
      </c>
      <c r="H73" s="164">
        <v>45833</v>
      </c>
      <c r="I73" s="150">
        <v>46136</v>
      </c>
      <c r="J73" s="135"/>
      <c r="K73" s="135"/>
      <c r="L73" s="135" t="s">
        <v>434</v>
      </c>
      <c r="M73" s="150">
        <v>47630</v>
      </c>
      <c r="N73" s="135" t="s">
        <v>435</v>
      </c>
      <c r="O73" s="150">
        <v>46892</v>
      </c>
      <c r="P73" s="135"/>
      <c r="Q73" s="164"/>
      <c r="R73" s="135"/>
      <c r="S73" s="135" t="s">
        <v>434</v>
      </c>
    </row>
    <row r="74" spans="2:19" s="138" customFormat="1" ht="20.100000000000001" customHeight="1">
      <c r="B74" s="131">
        <v>22</v>
      </c>
      <c r="C74" s="132" t="str">
        <f t="shared" si="1"/>
        <v xml:space="preserve">D/CDT </v>
      </c>
      <c r="D74" s="131" t="str">
        <f t="shared" si="1"/>
        <v xml:space="preserve">VU </v>
      </c>
      <c r="E74" s="133" t="str">
        <f t="shared" si="1"/>
        <v xml:space="preserve">THUY  ANH </v>
      </c>
      <c r="F74" s="134" t="str">
        <f t="shared" si="1"/>
        <v>VIETNAMESE</v>
      </c>
      <c r="G74" s="150">
        <v>37260</v>
      </c>
      <c r="H74" s="164">
        <v>45717</v>
      </c>
      <c r="I74" s="150">
        <v>46019</v>
      </c>
      <c r="J74" s="135"/>
      <c r="K74" s="135"/>
      <c r="L74" s="135" t="s">
        <v>326</v>
      </c>
      <c r="M74" s="150">
        <v>46902</v>
      </c>
      <c r="N74" s="147"/>
      <c r="O74" s="165"/>
      <c r="P74" s="135"/>
      <c r="Q74" s="150"/>
      <c r="R74" s="135"/>
      <c r="S74" s="135" t="s">
        <v>326</v>
      </c>
    </row>
    <row r="75" spans="2:19" s="138" customFormat="1" ht="20.100000000000001" customHeight="1">
      <c r="B75" s="131">
        <v>23</v>
      </c>
      <c r="C75" s="132" t="str">
        <f t="shared" ref="C75:F81" si="2">IF(C33="","",C33)</f>
        <v>E/CDT</v>
      </c>
      <c r="D75" s="131" t="str">
        <f t="shared" si="2"/>
        <v xml:space="preserve">NGUYEN </v>
      </c>
      <c r="E75" s="133" t="str">
        <f t="shared" si="2"/>
        <v xml:space="preserve">CONG HUNG </v>
      </c>
      <c r="F75" s="134" t="str">
        <f t="shared" si="2"/>
        <v>VIETNAMESE</v>
      </c>
      <c r="G75" s="150">
        <v>37591</v>
      </c>
      <c r="H75" s="164">
        <v>45717</v>
      </c>
      <c r="I75" s="150">
        <v>46019</v>
      </c>
      <c r="J75" s="135"/>
      <c r="K75" s="135"/>
      <c r="L75" s="135" t="s">
        <v>334</v>
      </c>
      <c r="M75" s="150">
        <v>46679</v>
      </c>
      <c r="N75" s="135"/>
      <c r="O75" s="153"/>
      <c r="P75" s="135"/>
      <c r="Q75" s="153"/>
      <c r="R75" s="135"/>
      <c r="S75" s="135" t="s">
        <v>334</v>
      </c>
    </row>
    <row r="76" spans="2:19" s="138" customFormat="1" ht="20.100000000000001" customHeight="1">
      <c r="B76" s="131">
        <v>24</v>
      </c>
      <c r="C76" s="69" t="str">
        <f t="shared" si="2"/>
        <v>E/CDT</v>
      </c>
      <c r="D76" s="56" t="str">
        <f t="shared" si="2"/>
        <v>NGUYEN</v>
      </c>
      <c r="E76" s="70" t="str">
        <f t="shared" si="2"/>
        <v>TUAN DAT</v>
      </c>
      <c r="F76" s="59" t="str">
        <f t="shared" si="2"/>
        <v>VIETNAMESE</v>
      </c>
      <c r="G76" s="152">
        <v>37627</v>
      </c>
      <c r="H76" s="162">
        <v>45936</v>
      </c>
      <c r="I76" s="152">
        <v>46270</v>
      </c>
      <c r="J76" s="61"/>
      <c r="K76" s="61"/>
      <c r="L76" s="61" t="s">
        <v>482</v>
      </c>
      <c r="M76" s="186">
        <v>47088</v>
      </c>
      <c r="N76" s="184"/>
      <c r="O76" s="176"/>
      <c r="P76" s="184"/>
      <c r="Q76" s="185"/>
      <c r="R76" s="61"/>
      <c r="S76" s="61" t="s">
        <v>482</v>
      </c>
    </row>
    <row r="77" spans="2:19" s="138" customFormat="1" ht="20.100000000000001" customHeight="1">
      <c r="B77" s="131">
        <v>25</v>
      </c>
      <c r="C77" s="69" t="str">
        <f t="shared" si="2"/>
        <v>E/CDT</v>
      </c>
      <c r="D77" s="56" t="str">
        <f t="shared" si="2"/>
        <v>NGUYEN</v>
      </c>
      <c r="E77" s="70" t="str">
        <f t="shared" si="2"/>
        <v>TRONG DUC</v>
      </c>
      <c r="F77" s="59" t="str">
        <f t="shared" si="2"/>
        <v>VIETNAMESE</v>
      </c>
      <c r="G77" s="152">
        <v>37634</v>
      </c>
      <c r="H77" s="162">
        <v>45936</v>
      </c>
      <c r="I77" s="152">
        <v>46270</v>
      </c>
      <c r="J77" s="61"/>
      <c r="K77" s="61"/>
      <c r="L77" s="61" t="s">
        <v>484</v>
      </c>
      <c r="M77" s="152">
        <v>47088</v>
      </c>
      <c r="N77" s="184"/>
      <c r="O77" s="185"/>
      <c r="P77" s="184"/>
      <c r="Q77" s="185"/>
      <c r="R77" s="61"/>
      <c r="S77" s="61" t="s">
        <v>484</v>
      </c>
    </row>
    <row r="78" spans="2:19" s="138" customFormat="1" ht="20.100000000000001" customHeight="1">
      <c r="B78" s="131">
        <v>26</v>
      </c>
      <c r="C78" s="132" t="str">
        <f t="shared" si="2"/>
        <v/>
      </c>
      <c r="D78" s="131" t="str">
        <f t="shared" si="2"/>
        <v/>
      </c>
      <c r="E78" s="133" t="str">
        <f t="shared" si="2"/>
        <v/>
      </c>
      <c r="F78" s="134" t="str">
        <f t="shared" si="2"/>
        <v/>
      </c>
      <c r="G78" s="150"/>
      <c r="H78" s="164"/>
      <c r="I78" s="164"/>
      <c r="J78" s="135"/>
      <c r="K78" s="135"/>
      <c r="L78" s="135"/>
      <c r="M78" s="150"/>
      <c r="N78" s="135"/>
      <c r="O78" s="150"/>
      <c r="P78" s="135"/>
      <c r="Q78" s="150"/>
      <c r="R78" s="135"/>
      <c r="S78" s="132"/>
    </row>
    <row r="79" spans="2:19" s="138" customFormat="1" ht="20.100000000000001" customHeight="1">
      <c r="B79" s="131">
        <v>27</v>
      </c>
      <c r="C79" s="132" t="str">
        <f t="shared" si="2"/>
        <v/>
      </c>
      <c r="D79" s="131" t="str">
        <f t="shared" si="2"/>
        <v/>
      </c>
      <c r="E79" s="133" t="str">
        <f t="shared" si="2"/>
        <v/>
      </c>
      <c r="F79" s="134" t="str">
        <f t="shared" si="2"/>
        <v/>
      </c>
      <c r="G79" s="150"/>
      <c r="H79" s="164"/>
      <c r="I79" s="164"/>
      <c r="J79" s="135"/>
      <c r="K79" s="135"/>
      <c r="L79" s="135"/>
      <c r="M79" s="150"/>
      <c r="N79" s="135"/>
      <c r="O79" s="150"/>
      <c r="P79" s="135"/>
      <c r="Q79" s="150"/>
      <c r="R79" s="135"/>
      <c r="S79" s="131"/>
    </row>
    <row r="80" spans="2:19" s="138" customFormat="1" ht="20.100000000000001" customHeight="1">
      <c r="B80" s="131">
        <v>28</v>
      </c>
      <c r="C80" s="132" t="str">
        <f t="shared" si="2"/>
        <v/>
      </c>
      <c r="D80" s="131" t="str">
        <f t="shared" si="2"/>
        <v/>
      </c>
      <c r="E80" s="133" t="str">
        <f t="shared" si="2"/>
        <v/>
      </c>
      <c r="F80" s="134" t="str">
        <f t="shared" si="2"/>
        <v/>
      </c>
      <c r="G80" s="150"/>
      <c r="H80" s="164"/>
      <c r="I80" s="164"/>
      <c r="J80" s="135"/>
      <c r="K80" s="135"/>
      <c r="L80" s="135"/>
      <c r="M80" s="150"/>
      <c r="N80" s="135"/>
      <c r="O80" s="150"/>
      <c r="P80" s="135"/>
      <c r="Q80" s="150"/>
      <c r="R80" s="135"/>
      <c r="S80" s="131"/>
    </row>
    <row r="81" spans="2:19" s="138" customFormat="1" ht="20.100000000000001" customHeight="1">
      <c r="B81" s="131">
        <v>29</v>
      </c>
      <c r="C81" s="132" t="str">
        <f t="shared" si="2"/>
        <v/>
      </c>
      <c r="D81" s="131" t="str">
        <f t="shared" si="2"/>
        <v/>
      </c>
      <c r="E81" s="133" t="str">
        <f t="shared" si="2"/>
        <v/>
      </c>
      <c r="F81" s="134" t="str">
        <f t="shared" si="2"/>
        <v/>
      </c>
      <c r="G81" s="150"/>
      <c r="H81" s="164"/>
      <c r="I81" s="164"/>
      <c r="J81" s="135"/>
      <c r="K81" s="135"/>
      <c r="L81" s="135"/>
      <c r="M81" s="150"/>
      <c r="N81" s="135"/>
      <c r="O81" s="150"/>
      <c r="P81" s="135"/>
      <c r="Q81" s="150"/>
      <c r="R81" s="135"/>
      <c r="S81" s="131"/>
    </row>
    <row r="82" spans="2:19" ht="20.100000000000001" customHeight="1">
      <c r="C82" s="55" t="s">
        <v>172</v>
      </c>
    </row>
    <row r="83" spans="2:19" ht="20.100000000000001" customHeight="1"/>
    <row r="84" spans="2:19" ht="20.100000000000001" customHeight="1">
      <c r="Q84" s="116" t="s">
        <v>485</v>
      </c>
    </row>
    <row r="85" spans="2:19" ht="20.100000000000001" customHeight="1"/>
    <row r="86" spans="2:19" ht="18" customHeight="1">
      <c r="O86" s="117"/>
    </row>
  </sheetData>
  <mergeCells count="49">
    <mergeCell ref="K8:L8"/>
    <mergeCell ref="Q9:Q10"/>
    <mergeCell ref="J2:L2"/>
    <mergeCell ref="H45:I45"/>
    <mergeCell ref="K6:L6"/>
    <mergeCell ref="M6:N6"/>
    <mergeCell ref="O8:P8"/>
    <mergeCell ref="K7:L7"/>
    <mergeCell ref="G6:H6"/>
    <mergeCell ref="I6:J6"/>
    <mergeCell ref="O7:P7"/>
    <mergeCell ref="R49:R51"/>
    <mergeCell ref="P50:Q50"/>
    <mergeCell ref="R4:S4"/>
    <mergeCell ref="E4:F4"/>
    <mergeCell ref="O6:P6"/>
    <mergeCell ref="E45:F45"/>
    <mergeCell ref="F48:F52"/>
    <mergeCell ref="H48:H51"/>
    <mergeCell ref="L50:M50"/>
    <mergeCell ref="L49:Q49"/>
    <mergeCell ref="L51:M51"/>
    <mergeCell ref="D7:E7"/>
    <mergeCell ref="G7:H7"/>
    <mergeCell ref="I7:J7"/>
    <mergeCell ref="M7:N7"/>
    <mergeCell ref="E8:E10"/>
    <mergeCell ref="C48:C52"/>
    <mergeCell ref="D48:E48"/>
    <mergeCell ref="D49:D52"/>
    <mergeCell ref="E49:E52"/>
    <mergeCell ref="D8:D10"/>
    <mergeCell ref="C7:C10"/>
    <mergeCell ref="R2:S2"/>
    <mergeCell ref="J43:L43"/>
    <mergeCell ref="H4:I4"/>
    <mergeCell ref="G47:I47"/>
    <mergeCell ref="G48:G51"/>
    <mergeCell ref="J49:K49"/>
    <mergeCell ref="J48:R48"/>
    <mergeCell ref="I48:I51"/>
    <mergeCell ref="R45:S45"/>
    <mergeCell ref="J47:K47"/>
    <mergeCell ref="L47:M47"/>
    <mergeCell ref="N47:O47"/>
    <mergeCell ref="P47:Q47"/>
    <mergeCell ref="P51:Q51"/>
    <mergeCell ref="N50:O50"/>
    <mergeCell ref="N51:O51"/>
  </mergeCells>
  <phoneticPr fontId="8"/>
  <conditionalFormatting sqref="H11:H14 J11:J14 L11:L19 N12:N14 P12:P14 R12:R35 H16:H19 J16:J19 N16:N19 P16:P19 H21:H25 J21:J25 P21:P25 L21:L28 H27:H28 J27:J28 N27:N28 P27:P28 N30:N32 H30:H34 J30:J34 P30:P34 L30:L35">
    <cfRule type="cellIs" dxfId="60" priority="54" operator="lessThanOrEqual">
      <formula>$R$49+183</formula>
    </cfRule>
  </conditionalFormatting>
  <conditionalFormatting sqref="H11:H39 L11:L39 P12:P39 J11:J19 N16:N25 R11:S39 N12:N14 J21:J25 J27:J28 N27:N28 J30:J39 N30:N39 L53:Q60 L61:P67 L68:Q68 L69:P73 L74:M74 L75:N75 P74:P75 L76 N76 P76:Q76 L77:Q81">
    <cfRule type="containsBlanks" dxfId="59" priority="69">
      <formula>LEN(TRIM(H11))=0</formula>
    </cfRule>
  </conditionalFormatting>
  <conditionalFormatting sqref="H15 P15 H20 L20 P20">
    <cfRule type="cellIs" dxfId="58" priority="66" operator="lessThanOrEqual">
      <formula>$R$47+183</formula>
    </cfRule>
  </conditionalFormatting>
  <conditionalFormatting sqref="H26 L26 P26 R26 H29 L29 P29 R29:R35">
    <cfRule type="cellIs" dxfId="57" priority="60" operator="lessThanOrEqual">
      <formula>$R$46+183</formula>
    </cfRule>
  </conditionalFormatting>
  <conditionalFormatting sqref="H33:H39 J33:J39 L33:L39 N33:N39 P33:P39 R33:R39 Q76:Q81 M77:M81 O77:O81">
    <cfRule type="cellIs" dxfId="56" priority="84" operator="lessThanOrEqual">
      <formula>$R$45+183</formula>
    </cfRule>
  </conditionalFormatting>
  <conditionalFormatting sqref="I53:I75">
    <cfRule type="cellIs" dxfId="55" priority="23" operator="lessThanOrEqual">
      <formula>$R$50+183</formula>
    </cfRule>
    <cfRule type="containsBlanks" dxfId="54" priority="24">
      <formula>LEN(TRIM(I53))=0</formula>
    </cfRule>
    <cfRule type="cellIs" dxfId="53" priority="25" operator="lessThanOrEqual">
      <formula>$R$4</formula>
    </cfRule>
  </conditionalFormatting>
  <conditionalFormatting sqref="I78:I81">
    <cfRule type="cellIs" dxfId="52" priority="85" stopIfTrue="1" operator="lessThanOrEqual">
      <formula>$R$45+31</formula>
    </cfRule>
    <cfRule type="containsBlanks" dxfId="51" priority="37" stopIfTrue="1">
      <formula>LEN(TRIM(I78))=0</formula>
    </cfRule>
    <cfRule type="cellIs" dxfId="50" priority="73" stopIfTrue="1" operator="lessThanOrEqual">
      <formula>$R$45</formula>
    </cfRule>
  </conditionalFormatting>
  <conditionalFormatting sqref="J11:J19 H11:H39 L11:L39 R11:S39 N12:N14 P12:P39 N16:N25 J21:J25 J27:J28 N27:N28 J30:J39 N30:N39 L53:Q60 L61:P67 L68:Q68 L69:P73 L74:M74 P74:P75 L75:N75 L76 N76 P76:Q76 L77:Q81">
    <cfRule type="cellIs" dxfId="49" priority="70" operator="lessThanOrEqual">
      <formula>$R$4</formula>
    </cfRule>
  </conditionalFormatting>
  <conditionalFormatting sqref="J15">
    <cfRule type="cellIs" dxfId="48" priority="62" operator="lessThanOrEqual">
      <formula>$R$47+183</formula>
    </cfRule>
  </conditionalFormatting>
  <conditionalFormatting sqref="N11 P11">
    <cfRule type="containsBlanks" dxfId="47" priority="46">
      <formula>LEN(TRIM(N11))=0</formula>
    </cfRule>
    <cfRule type="cellIs" dxfId="46" priority="47" operator="lessThanOrEqual">
      <formula>$R$4</formula>
    </cfRule>
  </conditionalFormatting>
  <conditionalFormatting sqref="N11">
    <cfRule type="cellIs" dxfId="45" priority="68" operator="lessThanOrEqual">
      <formula>$R$47+183</formula>
    </cfRule>
  </conditionalFormatting>
  <conditionalFormatting sqref="N20">
    <cfRule type="cellIs" dxfId="44" priority="61" operator="lessThanOrEqual">
      <formula>$R$47+183</formula>
    </cfRule>
  </conditionalFormatting>
  <conditionalFormatting sqref="N21:N25">
    <cfRule type="cellIs" dxfId="43" priority="57" operator="lessThanOrEqual">
      <formula>$R$49+183</formula>
    </cfRule>
  </conditionalFormatting>
  <conditionalFormatting sqref="O30">
    <cfRule type="cellIs" dxfId="42" priority="26" operator="lessThanOrEqual">
      <formula>$R$49+183</formula>
    </cfRule>
    <cfRule type="containsBlanks" dxfId="41" priority="27">
      <formula>LEN(TRIM(O30))=0</formula>
    </cfRule>
    <cfRule type="cellIs" dxfId="40" priority="28" operator="lessThanOrEqual">
      <formula>$R$4</formula>
    </cfRule>
  </conditionalFormatting>
  <conditionalFormatting sqref="P11">
    <cfRule type="cellIs" dxfId="39" priority="67" operator="lessThanOrEqual">
      <formula>$R$47+183</formula>
    </cfRule>
  </conditionalFormatting>
  <conditionalFormatting sqref="Q74 Q53:Q60 O53:O73 M53:M75 Q68">
    <cfRule type="cellIs" dxfId="38" priority="38" operator="lessThanOrEqual">
      <formula>$R$50+183</formula>
    </cfRule>
  </conditionalFormatting>
  <conditionalFormatting sqref="Q74">
    <cfRule type="containsBlanks" dxfId="37" priority="17">
      <formula>LEN(TRIM(Q74))=0</formula>
    </cfRule>
    <cfRule type="cellIs" dxfId="36" priority="18" operator="lessThanOrEqual">
      <formula>$R$4</formula>
    </cfRule>
  </conditionalFormatting>
  <conditionalFormatting sqref="R11:R35">
    <cfRule type="cellIs" dxfId="35" priority="19" operator="lessThanOrEqual">
      <formula>$R$47+183</formula>
    </cfRule>
  </conditionalFormatting>
  <conditionalFormatting sqref="S11:S39">
    <cfRule type="cellIs" dxfId="34" priority="83" operator="lessThanOrEqual">
      <formula>$R$4+31</formula>
    </cfRule>
  </conditionalFormatting>
  <conditionalFormatting sqref="S23">
    <cfRule type="containsBlanks" dxfId="33" priority="52">
      <formula>LEN(TRIM(S23))=0</formula>
    </cfRule>
    <cfRule type="cellIs" dxfId="32" priority="53" operator="lessThanOrEqual">
      <formula>$R$4</formula>
    </cfRule>
  </conditionalFormatting>
  <conditionalFormatting sqref="S28">
    <cfRule type="containsBlanks" dxfId="31" priority="50">
      <formula>LEN(TRIM(S28))=0</formula>
    </cfRule>
    <cfRule type="cellIs" dxfId="30" priority="51" operator="lessThanOrEqual">
      <formula>$R$4</formula>
    </cfRule>
  </conditionalFormatting>
  <conditionalFormatting sqref="S61:S77">
    <cfRule type="cellIs" dxfId="29" priority="2" operator="lessThanOrEqual">
      <formula>$R$4</formula>
    </cfRule>
    <cfRule type="containsBlanks" dxfId="28" priority="1">
      <formula>LEN(TRIM(S61))=0</formula>
    </cfRule>
  </conditionalFormatting>
  <pageMargins left="0.43" right="0.12" top="0.81" bottom="0.35" header="0.3" footer="0.3"/>
  <pageSetup paperSize="9" scale="49" fitToHeight="0" orientation="landscape" r:id="rId1"/>
  <headerFooter>
    <oddHeader>&amp;R&amp;6 SMR-01-030 (SMN) Sheet3_x000D_Revision: 5_x000D_Page: &amp;P of &amp;N_x000D_Date: 2024/04/01&amp;</oddHeader>
    <oddFooter>&amp;R&amp;8 NS UNITED KAIUN KAISHA, LTD.</oddFooter>
  </headerFooter>
  <rowBreaks count="1" manualBreakCount="1">
    <brk id="41"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Y41"/>
  <sheetViews>
    <sheetView view="pageBreakPreview" zoomScale="70" zoomScaleNormal="80" zoomScaleSheetLayoutView="70" workbookViewId="0">
      <selection activeCell="O37" sqref="O37"/>
    </sheetView>
  </sheetViews>
  <sheetFormatPr defaultColWidth="9" defaultRowHeight="12.75"/>
  <cols>
    <col min="1" max="1" width="2.625" style="55" customWidth="1"/>
    <col min="2" max="2" width="2.75" style="55" customWidth="1"/>
    <col min="3" max="3" width="7.75" style="55" customWidth="1"/>
    <col min="4" max="4" width="11.625" style="55" customWidth="1"/>
    <col min="5" max="5" width="20.625" style="55" customWidth="1"/>
    <col min="6" max="6" width="12.625" style="55" customWidth="1"/>
    <col min="7" max="7" width="12.125" style="55" customWidth="1"/>
    <col min="8" max="8" width="15.375" style="166" customWidth="1"/>
    <col min="9" max="9" width="11.625" style="55" customWidth="1"/>
    <col min="10" max="10" width="12.875" style="166" customWidth="1"/>
    <col min="11" max="11" width="11.625" style="55" customWidth="1"/>
    <col min="12" max="12" width="12" style="166" customWidth="1"/>
    <col min="13" max="14" width="7.125" style="55" customWidth="1"/>
    <col min="15" max="15" width="11.625" style="166" customWidth="1"/>
    <col min="16" max="16" width="12.75" style="166" customWidth="1"/>
    <col min="17" max="18" width="11.625" style="55" customWidth="1"/>
    <col min="19" max="21" width="9.625" style="55" customWidth="1"/>
    <col min="22" max="23" width="10.125" style="55" customWidth="1"/>
    <col min="24" max="25" width="9.75" style="55" customWidth="1"/>
    <col min="26" max="16384" width="9" style="55"/>
  </cols>
  <sheetData>
    <row r="2" spans="2:25" ht="23.25">
      <c r="B2" s="89" t="s">
        <v>169</v>
      </c>
      <c r="C2" s="89"/>
      <c r="D2" s="89"/>
      <c r="E2" s="72"/>
      <c r="J2" s="208" t="s">
        <v>91</v>
      </c>
      <c r="K2" s="209"/>
      <c r="L2" s="210"/>
      <c r="M2" s="72"/>
      <c r="R2" s="117" t="s">
        <v>165</v>
      </c>
      <c r="S2" s="72"/>
      <c r="T2" s="72"/>
      <c r="U2" s="72"/>
    </row>
    <row r="3" spans="2:25" ht="12" customHeight="1">
      <c r="B3" s="74"/>
      <c r="C3" s="74"/>
      <c r="D3" s="74"/>
      <c r="E3" s="72"/>
      <c r="G3" s="74"/>
      <c r="H3" s="167"/>
      <c r="I3" s="72"/>
      <c r="J3" s="172"/>
      <c r="K3" s="72"/>
      <c r="L3" s="172"/>
      <c r="M3" s="72"/>
      <c r="N3" s="72"/>
      <c r="O3" s="172"/>
      <c r="P3" s="172"/>
      <c r="Q3" s="72"/>
      <c r="R3" s="72"/>
      <c r="S3" s="72"/>
      <c r="T3" s="72"/>
      <c r="U3" s="72"/>
    </row>
    <row r="4" spans="2:25" ht="20.25">
      <c r="D4" s="77" t="s">
        <v>67</v>
      </c>
      <c r="E4" s="236" t="str">
        <f>'Home country (Form 1 &amp; Form 2)'!E4</f>
        <v>NSU TRUST</v>
      </c>
      <c r="F4" s="236"/>
      <c r="G4" s="77" t="s">
        <v>66</v>
      </c>
      <c r="H4" s="236" t="str">
        <f>'Home country (Form 1 &amp; Form 2)'!H45:I45</f>
        <v>LIBERIA</v>
      </c>
      <c r="I4" s="236"/>
      <c r="P4" s="175" t="s">
        <v>68</v>
      </c>
      <c r="Q4" s="217">
        <f>'Home country (Form 1 &amp; Form 2)'!R4</f>
        <v>45936</v>
      </c>
      <c r="R4" s="217"/>
    </row>
    <row r="5" spans="2:25" ht="6.75" customHeight="1">
      <c r="E5" s="71"/>
      <c r="G5" s="75"/>
      <c r="X5" s="76"/>
      <c r="Y5" s="76"/>
    </row>
    <row r="6" spans="2:25" s="95" customFormat="1" ht="20.100000000000001" customHeight="1">
      <c r="B6" s="94"/>
      <c r="C6" s="125" t="s">
        <v>92</v>
      </c>
      <c r="D6" s="125" t="s">
        <v>93</v>
      </c>
      <c r="E6" s="125" t="s">
        <v>94</v>
      </c>
      <c r="F6" s="125" t="s">
        <v>141</v>
      </c>
      <c r="G6" s="212" t="s">
        <v>142</v>
      </c>
      <c r="H6" s="242"/>
      <c r="I6" s="212" t="s">
        <v>143</v>
      </c>
      <c r="J6" s="242"/>
      <c r="K6" s="212" t="s">
        <v>144</v>
      </c>
      <c r="L6" s="199"/>
      <c r="M6" s="212" t="s">
        <v>145</v>
      </c>
      <c r="N6" s="242"/>
      <c r="O6" s="212" t="s">
        <v>146</v>
      </c>
      <c r="P6" s="247"/>
      <c r="Q6" s="94" t="s">
        <v>226</v>
      </c>
      <c r="R6" s="94"/>
    </row>
    <row r="7" spans="2:25" ht="20.100000000000001" customHeight="1">
      <c r="B7" s="57"/>
      <c r="C7" s="222" t="s">
        <v>51</v>
      </c>
      <c r="D7" s="225" t="s">
        <v>52</v>
      </c>
      <c r="E7" s="226"/>
      <c r="F7" s="62"/>
      <c r="G7" s="220" t="s">
        <v>65</v>
      </c>
      <c r="H7" s="233"/>
      <c r="I7" s="220" t="s">
        <v>90</v>
      </c>
      <c r="J7" s="233"/>
      <c r="K7" s="243" t="s">
        <v>234</v>
      </c>
      <c r="L7" s="244"/>
      <c r="M7" s="220" t="s">
        <v>224</v>
      </c>
      <c r="N7" s="233"/>
      <c r="O7" s="220" t="s">
        <v>225</v>
      </c>
      <c r="P7" s="248"/>
      <c r="Q7" s="57" t="s">
        <v>227</v>
      </c>
      <c r="R7" s="57"/>
    </row>
    <row r="8" spans="2:25" ht="20.100000000000001" customHeight="1">
      <c r="B8" s="67"/>
      <c r="C8" s="223"/>
      <c r="D8" s="222" t="s">
        <v>88</v>
      </c>
      <c r="E8" s="222" t="s">
        <v>89</v>
      </c>
      <c r="F8" s="68" t="s">
        <v>59</v>
      </c>
      <c r="G8" s="81"/>
      <c r="H8" s="168"/>
      <c r="I8" s="234"/>
      <c r="J8" s="235"/>
      <c r="K8" s="245"/>
      <c r="L8" s="246"/>
      <c r="M8" s="86"/>
      <c r="N8" s="93"/>
      <c r="O8" s="234" t="s">
        <v>87</v>
      </c>
      <c r="P8" s="249"/>
      <c r="Q8" s="120" t="s">
        <v>228</v>
      </c>
      <c r="R8" s="67"/>
    </row>
    <row r="9" spans="2:25" ht="20.100000000000001" customHeight="1">
      <c r="B9" s="67"/>
      <c r="C9" s="223"/>
      <c r="D9" s="223"/>
      <c r="E9" s="223"/>
      <c r="F9" s="68"/>
      <c r="G9" s="64" t="s">
        <v>75</v>
      </c>
      <c r="H9" s="148" t="s">
        <v>76</v>
      </c>
      <c r="I9" s="64" t="s">
        <v>75</v>
      </c>
      <c r="J9" s="148" t="s">
        <v>76</v>
      </c>
      <c r="K9" s="121"/>
      <c r="L9" s="148" t="s">
        <v>76</v>
      </c>
      <c r="M9" s="64"/>
      <c r="N9" s="65"/>
      <c r="O9" s="177"/>
      <c r="P9" s="148" t="s">
        <v>76</v>
      </c>
      <c r="Q9" s="120" t="s">
        <v>235</v>
      </c>
      <c r="R9" s="67"/>
    </row>
    <row r="10" spans="2:25" ht="20.100000000000001" customHeight="1">
      <c r="B10" s="60"/>
      <c r="C10" s="224"/>
      <c r="D10" s="224"/>
      <c r="E10" s="224"/>
      <c r="F10" s="63"/>
      <c r="G10" s="79"/>
      <c r="H10" s="149" t="s">
        <v>239</v>
      </c>
      <c r="I10" s="79"/>
      <c r="J10" s="149" t="s">
        <v>239</v>
      </c>
      <c r="K10" s="122"/>
      <c r="L10" s="149" t="s">
        <v>239</v>
      </c>
      <c r="M10" s="79"/>
      <c r="N10" s="66"/>
      <c r="O10" s="163"/>
      <c r="P10" s="149" t="s">
        <v>239</v>
      </c>
      <c r="Q10" s="60"/>
      <c r="R10" s="60"/>
    </row>
    <row r="11" spans="2:25" s="138" customFormat="1" ht="24.95" customHeight="1">
      <c r="B11" s="132">
        <v>1</v>
      </c>
      <c r="C11" s="142" t="str">
        <f>IF('Home country (Form 1 &amp; Form 2)'!C53="","",'Home country (Form 1 &amp; Form 2)'!C53)</f>
        <v>MASTER</v>
      </c>
      <c r="D11" s="131" t="str">
        <f>IF('Home country (Form 1 &amp; Form 2)'!D53="","",'Home country (Form 1 &amp; Form 2)'!D53)</f>
        <v>NGUYEN</v>
      </c>
      <c r="E11" s="133" t="str">
        <f>IF('Home country (Form 1 &amp; Form 2)'!E53="","",'Home country (Form 1 &amp; Form 2)'!E53)</f>
        <v>THANH VIET</v>
      </c>
      <c r="F11" s="134" t="str">
        <f>IF('Home country (Form 1 &amp; Form 2)'!F53="","",'Home country (Form 1 &amp; Form 2)'!F53)</f>
        <v>VIETNAMESE</v>
      </c>
      <c r="G11" s="144">
        <v>1456972</v>
      </c>
      <c r="H11" s="169">
        <v>47143</v>
      </c>
      <c r="I11" s="144">
        <v>2008673</v>
      </c>
      <c r="J11" s="169">
        <v>47589</v>
      </c>
      <c r="K11" s="141"/>
      <c r="L11" s="173"/>
      <c r="M11" s="239"/>
      <c r="N11" s="240"/>
      <c r="O11" s="169" t="s">
        <v>277</v>
      </c>
      <c r="P11" s="169" t="s">
        <v>275</v>
      </c>
      <c r="Q11" s="132" t="s">
        <v>276</v>
      </c>
      <c r="R11" s="131"/>
    </row>
    <row r="12" spans="2:25" s="138" customFormat="1" ht="20.100000000000001" customHeight="1">
      <c r="B12" s="142">
        <v>2</v>
      </c>
      <c r="C12" s="142" t="str">
        <f>IF('Home country (Form 1 &amp; Form 2)'!C54="","",'Home country (Form 1 &amp; Form 2)'!C54)</f>
        <v>C/O</v>
      </c>
      <c r="D12" s="145" t="str">
        <f>IF('Home country (Form 1 &amp; Form 2)'!D54="","",'Home country (Form 1 &amp; Form 2)'!D54)</f>
        <v>NGUYEN</v>
      </c>
      <c r="E12" s="145" t="str">
        <f>IF('Home country (Form 1 &amp; Form 2)'!E54="","",'Home country (Form 1 &amp; Form 2)'!E54)</f>
        <v>HUY TUNG</v>
      </c>
      <c r="F12" s="142" t="str">
        <f>IF('Home country (Form 1 &amp; Form 2)'!F54="","",'Home country (Form 1 &amp; Form 2)'!F54)</f>
        <v>VIETNAMESE</v>
      </c>
      <c r="G12" s="132">
        <v>1389579</v>
      </c>
      <c r="H12" s="169">
        <v>47170</v>
      </c>
      <c r="I12" s="132">
        <v>1900535</v>
      </c>
      <c r="J12" s="169">
        <v>47224</v>
      </c>
      <c r="K12" s="134"/>
      <c r="L12" s="173"/>
      <c r="M12" s="239"/>
      <c r="N12" s="240"/>
      <c r="O12" s="169" t="s">
        <v>277</v>
      </c>
      <c r="P12" s="169" t="s">
        <v>275</v>
      </c>
      <c r="Q12" s="132" t="s">
        <v>276</v>
      </c>
      <c r="R12" s="131"/>
    </row>
    <row r="13" spans="2:25" s="138" customFormat="1" ht="20.100000000000001" customHeight="1">
      <c r="B13" s="132">
        <v>3</v>
      </c>
      <c r="C13" s="142" t="str">
        <f>IF('Home country (Form 1 &amp; Form 2)'!C55="","",'Home country (Form 1 &amp; Form 2)'!C55)</f>
        <v>2/O</v>
      </c>
      <c r="D13" s="131" t="str">
        <f>IF('Home country (Form 1 &amp; Form 2)'!D55="","",'Home country (Form 1 &amp; Form 2)'!D55)</f>
        <v xml:space="preserve">NGUYEN </v>
      </c>
      <c r="E13" s="133" t="str">
        <f>IF('Home country (Form 1 &amp; Form 2)'!E55="","",'Home country (Form 1 &amp; Form 2)'!E55)</f>
        <v xml:space="preserve">HAI TRUONG </v>
      </c>
      <c r="F13" s="134" t="str">
        <f>IF('Home country (Form 1 &amp; Form 2)'!F55="","",'Home country (Form 1 &amp; Form 2)'!F55)</f>
        <v>VIETNAMESE</v>
      </c>
      <c r="G13" s="132">
        <v>1298738</v>
      </c>
      <c r="H13" s="169">
        <v>46623</v>
      </c>
      <c r="I13" s="132">
        <v>1743247</v>
      </c>
      <c r="J13" s="169">
        <v>46684</v>
      </c>
      <c r="K13" s="134"/>
      <c r="L13" s="173"/>
      <c r="M13" s="239"/>
      <c r="N13" s="240"/>
      <c r="O13" s="169" t="s">
        <v>277</v>
      </c>
      <c r="P13" s="169" t="s">
        <v>275</v>
      </c>
      <c r="Q13" s="132" t="s">
        <v>276</v>
      </c>
      <c r="R13" s="131"/>
    </row>
    <row r="14" spans="2:25" s="138" customFormat="1" ht="20.100000000000001" customHeight="1">
      <c r="B14" s="142">
        <v>4</v>
      </c>
      <c r="C14" s="142" t="str">
        <f>IF('Home country (Form 1 &amp; Form 2)'!C56="","",'Home country (Form 1 &amp; Form 2)'!C56)</f>
        <v>3/O</v>
      </c>
      <c r="D14" s="131" t="str">
        <f>IF('Home country (Form 1 &amp; Form 2)'!D56="","",'Home country (Form 1 &amp; Form 2)'!D56)</f>
        <v xml:space="preserve">TRAN </v>
      </c>
      <c r="E14" s="133" t="str">
        <f>IF('Home country (Form 1 &amp; Form 2)'!E56="","",'Home country (Form 1 &amp; Form 2)'!E56)</f>
        <v>VIET TOAN</v>
      </c>
      <c r="F14" s="134" t="str">
        <f>IF('Home country (Form 1 &amp; Form 2)'!F56="","",'Home country (Form 1 &amp; Form 2)'!F56)</f>
        <v>VIETNAMESE</v>
      </c>
      <c r="G14" s="132">
        <v>1468761</v>
      </c>
      <c r="H14" s="169">
        <v>47240</v>
      </c>
      <c r="I14" s="132">
        <v>2028154</v>
      </c>
      <c r="J14" s="169">
        <v>47649</v>
      </c>
      <c r="K14" s="134"/>
      <c r="L14" s="173"/>
      <c r="M14" s="239"/>
      <c r="N14" s="240"/>
      <c r="O14" s="169" t="s">
        <v>277</v>
      </c>
      <c r="P14" s="169" t="s">
        <v>275</v>
      </c>
      <c r="Q14" s="132" t="s">
        <v>276</v>
      </c>
      <c r="R14" s="131"/>
    </row>
    <row r="15" spans="2:25" s="138" customFormat="1" ht="20.100000000000001" customHeight="1">
      <c r="B15" s="132">
        <v>5</v>
      </c>
      <c r="C15" s="142" t="str">
        <f>IF('Home country (Form 1 &amp; Form 2)'!C57="","",'Home country (Form 1 &amp; Form 2)'!C57)</f>
        <v>C/E</v>
      </c>
      <c r="D15" s="131" t="str">
        <f>IF('Home country (Form 1 &amp; Form 2)'!D57="","",'Home country (Form 1 &amp; Form 2)'!D57)</f>
        <v>NGUYEN</v>
      </c>
      <c r="E15" s="133" t="str">
        <f>IF('Home country (Form 1 &amp; Form 2)'!E57="","",'Home country (Form 1 &amp; Form 2)'!E57)</f>
        <v>THANH TRUNG</v>
      </c>
      <c r="F15" s="134" t="str">
        <f>IF('Home country (Form 1 &amp; Form 2)'!F57="","",'Home country (Form 1 &amp; Form 2)'!F57)</f>
        <v>VIETNAMESE</v>
      </c>
      <c r="G15" s="132">
        <v>1479427</v>
      </c>
      <c r="H15" s="169">
        <v>47576</v>
      </c>
      <c r="I15" s="132">
        <v>1768480</v>
      </c>
      <c r="J15" s="169">
        <v>46804</v>
      </c>
      <c r="K15" s="134"/>
      <c r="L15" s="173"/>
      <c r="M15" s="239"/>
      <c r="N15" s="240"/>
      <c r="O15" s="169" t="s">
        <v>278</v>
      </c>
      <c r="P15" s="169">
        <v>46799</v>
      </c>
      <c r="Q15" s="132" t="s">
        <v>276</v>
      </c>
      <c r="R15" s="131"/>
    </row>
    <row r="16" spans="2:25" s="138" customFormat="1" ht="20.100000000000001" customHeight="1">
      <c r="B16" s="142">
        <v>6</v>
      </c>
      <c r="C16" s="142" t="str">
        <f>IF('Home country (Form 1 &amp; Form 2)'!C58="","",'Home country (Form 1 &amp; Form 2)'!C58)</f>
        <v xml:space="preserve"> 2/E</v>
      </c>
      <c r="D16" s="131" t="str">
        <f>IF('Home country (Form 1 &amp; Form 2)'!D58="","",'Home country (Form 1 &amp; Form 2)'!D58)</f>
        <v xml:space="preserve">DOAN </v>
      </c>
      <c r="E16" s="133" t="str">
        <f>IF('Home country (Form 1 &amp; Form 2)'!E58="","",'Home country (Form 1 &amp; Form 2)'!E58)</f>
        <v xml:space="preserve">VAN CUONG </v>
      </c>
      <c r="F16" s="134" t="str">
        <f>IF('Home country (Form 1 &amp; Form 2)'!F58="","",'Home country (Form 1 &amp; Form 2)'!F58)</f>
        <v>VIETNAMESE</v>
      </c>
      <c r="G16" s="132">
        <v>1440131</v>
      </c>
      <c r="H16" s="169">
        <v>46624</v>
      </c>
      <c r="I16" s="132">
        <v>1977162</v>
      </c>
      <c r="J16" s="169">
        <v>47497</v>
      </c>
      <c r="K16" s="134"/>
      <c r="L16" s="173"/>
      <c r="M16" s="239"/>
      <c r="N16" s="240"/>
      <c r="O16" s="169" t="s">
        <v>278</v>
      </c>
      <c r="P16" s="169">
        <v>46799</v>
      </c>
      <c r="Q16" s="132" t="s">
        <v>276</v>
      </c>
      <c r="R16" s="131"/>
    </row>
    <row r="17" spans="2:18" s="138" customFormat="1" ht="20.100000000000001" customHeight="1">
      <c r="B17" s="132">
        <v>7</v>
      </c>
      <c r="C17" s="142" t="str">
        <f>IF('Home country (Form 1 &amp; Form 2)'!C59="","",'Home country (Form 1 &amp; Form 2)'!C59)</f>
        <v>3/E</v>
      </c>
      <c r="D17" s="131" t="str">
        <f>IF('Home country (Form 1 &amp; Form 2)'!D59="","",'Home country (Form 1 &amp; Form 2)'!D59)</f>
        <v xml:space="preserve">NGUYEN </v>
      </c>
      <c r="E17" s="131" t="str">
        <f>IF('Home country (Form 1 &amp; Form 2)'!E59="","",'Home country (Form 1 &amp; Form 2)'!E59)</f>
        <v xml:space="preserve">THE DAT </v>
      </c>
      <c r="F17" s="131" t="str">
        <f>IF('Home country (Form 1 &amp; Form 2)'!F59="","",'Home country (Form 1 &amp; Form 2)'!F59)</f>
        <v>VIETNAMESE</v>
      </c>
      <c r="G17" s="132">
        <v>1440163</v>
      </c>
      <c r="H17" s="169">
        <v>47455</v>
      </c>
      <c r="I17" s="132">
        <v>1977163</v>
      </c>
      <c r="J17" s="169">
        <v>47497</v>
      </c>
      <c r="K17" s="134"/>
      <c r="L17" s="173"/>
      <c r="M17" s="239"/>
      <c r="N17" s="240"/>
      <c r="O17" s="169" t="s">
        <v>278</v>
      </c>
      <c r="P17" s="169">
        <v>46616</v>
      </c>
      <c r="Q17" s="132" t="s">
        <v>276</v>
      </c>
      <c r="R17" s="131"/>
    </row>
    <row r="18" spans="2:18" s="138" customFormat="1" ht="20.100000000000001" customHeight="1">
      <c r="B18" s="142">
        <v>8</v>
      </c>
      <c r="C18" s="142" t="str">
        <f>IF('Home country (Form 1 &amp; Form 2)'!C60="","",'Home country (Form 1 &amp; Form 2)'!C60)</f>
        <v xml:space="preserve"> 4/E</v>
      </c>
      <c r="D18" s="131" t="str">
        <f>IF('Home country (Form 1 &amp; Form 2)'!D60="","",'Home country (Form 1 &amp; Form 2)'!D60)</f>
        <v xml:space="preserve">DO </v>
      </c>
      <c r="E18" s="133" t="str">
        <f>IF('Home country (Form 1 &amp; Form 2)'!E60="","",'Home country (Form 1 &amp; Form 2)'!E60)</f>
        <v>ANH MINH</v>
      </c>
      <c r="F18" s="134" t="str">
        <f>IF('Home country (Form 1 &amp; Form 2)'!F60="","",'Home country (Form 1 &amp; Form 2)'!F60)</f>
        <v>VIETNAMESE</v>
      </c>
      <c r="G18" s="132">
        <v>1468773</v>
      </c>
      <c r="H18" s="169">
        <v>47517</v>
      </c>
      <c r="I18" s="132">
        <v>2028155</v>
      </c>
      <c r="J18" s="169">
        <v>47647</v>
      </c>
      <c r="K18" s="134"/>
      <c r="L18" s="173"/>
      <c r="M18" s="239"/>
      <c r="N18" s="240"/>
      <c r="O18" s="169" t="s">
        <v>278</v>
      </c>
      <c r="P18" s="169">
        <v>46952</v>
      </c>
      <c r="Q18" s="132" t="s">
        <v>276</v>
      </c>
      <c r="R18" s="131"/>
    </row>
    <row r="19" spans="2:18" s="138" customFormat="1" ht="19.5" customHeight="1">
      <c r="B19" s="132">
        <v>9</v>
      </c>
      <c r="C19" s="142" t="str">
        <f>IF('Home country (Form 1 &amp; Form 2)'!C61="","",'Home country (Form 1 &amp; Form 2)'!C61)</f>
        <v>BSN</v>
      </c>
      <c r="D19" s="131" t="str">
        <f>IF('Home country (Form 1 &amp; Form 2)'!D61="","",'Home country (Form 1 &amp; Form 2)'!D61)</f>
        <v xml:space="preserve">LE </v>
      </c>
      <c r="E19" s="133" t="str">
        <f>IF('Home country (Form 1 &amp; Form 2)'!E61="","",'Home country (Form 1 &amp; Form 2)'!E61)</f>
        <v>VAN LINH</v>
      </c>
      <c r="F19" s="134" t="str">
        <f>IF('Home country (Form 1 &amp; Form 2)'!F61="","",'Home country (Form 1 &amp; Form 2)'!F61)</f>
        <v>VIETNAMESE</v>
      </c>
      <c r="G19" s="132"/>
      <c r="H19" s="170"/>
      <c r="I19" s="144">
        <v>2008674</v>
      </c>
      <c r="J19" s="169">
        <v>47589</v>
      </c>
      <c r="K19" s="134" t="s">
        <v>276</v>
      </c>
      <c r="L19" s="169">
        <v>46250</v>
      </c>
      <c r="M19" s="239"/>
      <c r="N19" s="240"/>
      <c r="O19" s="169" t="s">
        <v>278</v>
      </c>
      <c r="P19" s="169">
        <v>46743</v>
      </c>
      <c r="Q19" s="132" t="s">
        <v>276</v>
      </c>
      <c r="R19" s="131"/>
    </row>
    <row r="20" spans="2:18" s="138" customFormat="1" ht="21.75" customHeight="1">
      <c r="B20" s="142">
        <v>10</v>
      </c>
      <c r="C20" s="142" t="str">
        <f>IF('Home country (Form 1 &amp; Form 2)'!C62="","",'Home country (Form 1 &amp; Form 2)'!C62)</f>
        <v>A/B</v>
      </c>
      <c r="D20" s="131" t="str">
        <f>IF('Home country (Form 1 &amp; Form 2)'!D62="","",'Home country (Form 1 &amp; Form 2)'!D62)</f>
        <v>NGUYEN</v>
      </c>
      <c r="E20" s="133" t="str">
        <f>IF('Home country (Form 1 &amp; Form 2)'!E62="","",'Home country (Form 1 &amp; Form 2)'!E62)</f>
        <v>QUANG THUY</v>
      </c>
      <c r="F20" s="134" t="str">
        <f>IF('Home country (Form 1 &amp; Form 2)'!F62="","",'Home country (Form 1 &amp; Form 2)'!F62)</f>
        <v>VIETNAMESE</v>
      </c>
      <c r="G20" s="132"/>
      <c r="H20" s="170"/>
      <c r="I20" s="144">
        <v>2008675</v>
      </c>
      <c r="J20" s="169">
        <v>47589</v>
      </c>
      <c r="K20" s="134" t="s">
        <v>276</v>
      </c>
      <c r="L20" s="169">
        <v>46385</v>
      </c>
      <c r="M20" s="239"/>
      <c r="N20" s="240"/>
      <c r="O20" s="169" t="s">
        <v>278</v>
      </c>
      <c r="P20" s="169">
        <v>46869</v>
      </c>
      <c r="Q20" s="132" t="s">
        <v>276</v>
      </c>
      <c r="R20" s="131"/>
    </row>
    <row r="21" spans="2:18" s="138" customFormat="1" ht="20.100000000000001" customHeight="1">
      <c r="B21" s="132">
        <v>11</v>
      </c>
      <c r="C21" s="142" t="str">
        <f>IF('Home country (Form 1 &amp; Form 2)'!C63="","",'Home country (Form 1 &amp; Form 2)'!C63)</f>
        <v>A/B</v>
      </c>
      <c r="D21" s="131" t="str">
        <f>IF('Home country (Form 1 &amp; Form 2)'!D63="","",'Home country (Form 1 &amp; Form 2)'!D63)</f>
        <v>NGUYEN</v>
      </c>
      <c r="E21" s="133" t="str">
        <f>IF('Home country (Form 1 &amp; Form 2)'!E63="","",'Home country (Form 1 &amp; Form 2)'!E63)</f>
        <v xml:space="preserve">VAN CUONG </v>
      </c>
      <c r="F21" s="134" t="str">
        <f>IF('Home country (Form 1 &amp; Form 2)'!F63="","",'Home country (Form 1 &amp; Form 2)'!F63)</f>
        <v>VIETNAMESE</v>
      </c>
      <c r="G21" s="132"/>
      <c r="H21" s="169"/>
      <c r="I21" s="132">
        <v>1655969</v>
      </c>
      <c r="J21" s="169">
        <v>46390</v>
      </c>
      <c r="K21" s="134" t="s">
        <v>276</v>
      </c>
      <c r="L21" s="173">
        <v>47540</v>
      </c>
      <c r="M21" s="239"/>
      <c r="N21" s="240"/>
      <c r="O21" s="169" t="s">
        <v>278</v>
      </c>
      <c r="P21" s="169">
        <v>47534</v>
      </c>
      <c r="Q21" s="132" t="s">
        <v>276</v>
      </c>
      <c r="R21" s="131"/>
    </row>
    <row r="22" spans="2:18" s="138" customFormat="1" ht="20.25" customHeight="1">
      <c r="B22" s="142">
        <v>12</v>
      </c>
      <c r="C22" s="142" t="str">
        <f>IF('Home country (Form 1 &amp; Form 2)'!C64="","",'Home country (Form 1 &amp; Form 2)'!C64)</f>
        <v>A/B</v>
      </c>
      <c r="D22" s="131" t="str">
        <f>IF('Home country (Form 1 &amp; Form 2)'!D64="","",'Home country (Form 1 &amp; Form 2)'!D64)</f>
        <v>NGUYEN</v>
      </c>
      <c r="E22" s="133" t="str">
        <f>IF('Home country (Form 1 &amp; Form 2)'!E64="","",'Home country (Form 1 &amp; Form 2)'!E64)</f>
        <v>VAN BINH</v>
      </c>
      <c r="F22" s="134" t="str">
        <f>IF('Home country (Form 1 &amp; Form 2)'!F64="","",'Home country (Form 1 &amp; Form 2)'!F64)</f>
        <v>VIETNAMESE</v>
      </c>
      <c r="G22" s="132"/>
      <c r="H22" s="169"/>
      <c r="I22" s="132">
        <v>2008676</v>
      </c>
      <c r="J22" s="169">
        <v>47589</v>
      </c>
      <c r="K22" s="134" t="s">
        <v>276</v>
      </c>
      <c r="L22" s="173">
        <v>46995</v>
      </c>
      <c r="M22" s="239"/>
      <c r="N22" s="240"/>
      <c r="O22" s="169" t="s">
        <v>278</v>
      </c>
      <c r="P22" s="169">
        <v>47567</v>
      </c>
      <c r="Q22" s="132" t="s">
        <v>276</v>
      </c>
      <c r="R22" s="131"/>
    </row>
    <row r="23" spans="2:18" s="138" customFormat="1" ht="21.75" customHeight="1">
      <c r="B23" s="132">
        <v>13</v>
      </c>
      <c r="C23" s="142" t="str">
        <f>IF('Home country (Form 1 &amp; Form 2)'!C65="","",'Home country (Form 1 &amp; Form 2)'!C65)</f>
        <v>O/S</v>
      </c>
      <c r="D23" s="131" t="str">
        <f>IF('Home country (Form 1 &amp; Form 2)'!D65="","",'Home country (Form 1 &amp; Form 2)'!D65)</f>
        <v>NGUYEN</v>
      </c>
      <c r="E23" s="133" t="str">
        <f>IF('Home country (Form 1 &amp; Form 2)'!E65="","",'Home country (Form 1 &amp; Form 2)'!E65)</f>
        <v>VAN MONG</v>
      </c>
      <c r="F23" s="134" t="str">
        <f>IF('Home country (Form 1 &amp; Form 2)'!F65="","",'Home country (Form 1 &amp; Form 2)'!F65)</f>
        <v>VIETNAMESE</v>
      </c>
      <c r="G23" s="132"/>
      <c r="H23" s="169"/>
      <c r="I23" s="132">
        <v>2050273</v>
      </c>
      <c r="J23" s="169">
        <v>47696</v>
      </c>
      <c r="K23" s="134" t="s">
        <v>276</v>
      </c>
      <c r="L23" s="173">
        <v>47092</v>
      </c>
      <c r="M23" s="239"/>
      <c r="N23" s="240"/>
      <c r="O23" s="169" t="s">
        <v>278</v>
      </c>
      <c r="P23" s="169">
        <v>46402</v>
      </c>
      <c r="Q23" s="132" t="s">
        <v>276</v>
      </c>
      <c r="R23" s="131"/>
    </row>
    <row r="24" spans="2:18" s="138" customFormat="1" ht="18" customHeight="1">
      <c r="B24" s="142">
        <v>14</v>
      </c>
      <c r="C24" s="142" t="str">
        <f>IF('Home country (Form 1 &amp; Form 2)'!C66="","",'Home country (Form 1 &amp; Form 2)'!C66)</f>
        <v>O/S</v>
      </c>
      <c r="D24" s="131" t="str">
        <f>IF('Home country (Form 1 &amp; Form 2)'!D66="","",'Home country (Form 1 &amp; Form 2)'!D66)</f>
        <v>HOANG</v>
      </c>
      <c r="E24" s="133" t="str">
        <f>IF('Home country (Form 1 &amp; Form 2)'!E66="","",'Home country (Form 1 &amp; Form 2)'!E66)</f>
        <v>TRONG HAN</v>
      </c>
      <c r="F24" s="134" t="str">
        <f>IF('Home country (Form 1 &amp; Form 2)'!F66="","",'Home country (Form 1 &amp; Form 2)'!F66)</f>
        <v>VIETNAMESE</v>
      </c>
      <c r="G24" s="132"/>
      <c r="H24" s="169"/>
      <c r="I24" s="144">
        <v>2008677</v>
      </c>
      <c r="J24" s="169">
        <v>47589</v>
      </c>
      <c r="K24" s="134" t="s">
        <v>276</v>
      </c>
      <c r="L24" s="169">
        <v>46920</v>
      </c>
      <c r="M24" s="239"/>
      <c r="N24" s="240"/>
      <c r="O24" s="169" t="s">
        <v>278</v>
      </c>
      <c r="P24" s="169">
        <v>46792</v>
      </c>
      <c r="Q24" s="132" t="s">
        <v>276</v>
      </c>
      <c r="R24" s="131"/>
    </row>
    <row r="25" spans="2:18" s="138" customFormat="1" ht="20.100000000000001" customHeight="1">
      <c r="B25" s="132">
        <v>15</v>
      </c>
      <c r="C25" s="142" t="str">
        <f>IF('Home country (Form 1 &amp; Form 2)'!C67="","",'Home country (Form 1 &amp; Form 2)'!C67)</f>
        <v>D/B</v>
      </c>
      <c r="D25" s="131" t="str">
        <f>IF('Home country (Form 1 &amp; Form 2)'!D67="","",'Home country (Form 1 &amp; Form 2)'!D67)</f>
        <v xml:space="preserve">TRAN </v>
      </c>
      <c r="E25" s="133" t="str">
        <f>IF('Home country (Form 1 &amp; Form 2)'!E67="","",'Home country (Form 1 &amp; Form 2)'!E67)</f>
        <v>QUANG HA</v>
      </c>
      <c r="F25" s="134" t="str">
        <f>IF('Home country (Form 1 &amp; Form 2)'!F67="","",'Home country (Form 1 &amp; Form 2)'!F67)</f>
        <v>VIETNAMESE</v>
      </c>
      <c r="G25" s="132"/>
      <c r="H25" s="169"/>
      <c r="I25" s="132">
        <v>2028156</v>
      </c>
      <c r="J25" s="169">
        <v>47647</v>
      </c>
      <c r="K25" s="134"/>
      <c r="L25" s="173"/>
      <c r="M25" s="239"/>
      <c r="N25" s="240"/>
      <c r="O25" s="169" t="s">
        <v>278</v>
      </c>
      <c r="P25" s="169">
        <v>47220</v>
      </c>
      <c r="Q25" s="132" t="s">
        <v>276</v>
      </c>
      <c r="R25" s="131"/>
    </row>
    <row r="26" spans="2:18" s="138" customFormat="1" ht="20.100000000000001" customHeight="1">
      <c r="B26" s="142">
        <v>16</v>
      </c>
      <c r="C26" s="142" t="str">
        <f>IF('Home country (Form 1 &amp; Form 2)'!C68="","",'Home country (Form 1 &amp; Form 2)'!C68)</f>
        <v>#1OLR</v>
      </c>
      <c r="D26" s="131" t="str">
        <f>IF('Home country (Form 1 &amp; Form 2)'!D68="","",'Home country (Form 1 &amp; Form 2)'!D68)</f>
        <v xml:space="preserve">CAO </v>
      </c>
      <c r="E26" s="133" t="str">
        <f>IF('Home country (Form 1 &amp; Form 2)'!E68="","",'Home country (Form 1 &amp; Form 2)'!E68)</f>
        <v xml:space="preserve">DANG TUYEN </v>
      </c>
      <c r="F26" s="134" t="str">
        <f>IF('Home country (Form 1 &amp; Form 2)'!F68="","",'Home country (Form 1 &amp; Form 2)'!F68)</f>
        <v>VIETNAMESE</v>
      </c>
      <c r="G26" s="132"/>
      <c r="H26" s="171"/>
      <c r="I26" s="132">
        <v>1977164</v>
      </c>
      <c r="J26" s="169">
        <v>47497</v>
      </c>
      <c r="K26" s="134" t="s">
        <v>276</v>
      </c>
      <c r="L26" s="173">
        <v>47377</v>
      </c>
      <c r="M26" s="239"/>
      <c r="N26" s="240"/>
      <c r="O26" s="169" t="s">
        <v>278</v>
      </c>
      <c r="P26" s="169">
        <v>46967</v>
      </c>
      <c r="Q26" s="132" t="s">
        <v>276</v>
      </c>
      <c r="R26" s="131"/>
    </row>
    <row r="27" spans="2:18" s="138" customFormat="1" ht="20.100000000000001" customHeight="1">
      <c r="B27" s="132">
        <v>17</v>
      </c>
      <c r="C27" s="142" t="str">
        <f>IF('Home country (Form 1 &amp; Form 2)'!C69="","",'Home country (Form 1 &amp; Form 2)'!C69)</f>
        <v>OLR</v>
      </c>
      <c r="D27" s="131" t="str">
        <f>IF('Home country (Form 1 &amp; Form 2)'!D69="","",'Home country (Form 1 &amp; Form 2)'!D69)</f>
        <v>PHAN</v>
      </c>
      <c r="E27" s="133" t="str">
        <f>IF('Home country (Form 1 &amp; Form 2)'!E69="","",'Home country (Form 1 &amp; Form 2)'!E69)</f>
        <v>VAN DUC</v>
      </c>
      <c r="F27" s="134" t="str">
        <f>IF('Home country (Form 1 &amp; Form 2)'!F69="","",'Home country (Form 1 &amp; Form 2)'!F69)</f>
        <v>VIETNAMESE</v>
      </c>
      <c r="G27" s="132"/>
      <c r="H27" s="169"/>
      <c r="I27" s="132">
        <v>1723090</v>
      </c>
      <c r="J27" s="169">
        <v>46623</v>
      </c>
      <c r="K27" s="134" t="s">
        <v>276</v>
      </c>
      <c r="L27" s="173">
        <v>47426</v>
      </c>
      <c r="M27" s="239"/>
      <c r="N27" s="240"/>
      <c r="O27" s="169" t="s">
        <v>278</v>
      </c>
      <c r="P27" s="169">
        <v>47004</v>
      </c>
      <c r="Q27" s="132" t="s">
        <v>276</v>
      </c>
      <c r="R27" s="131"/>
    </row>
    <row r="28" spans="2:18" s="138" customFormat="1" ht="20.100000000000001" customHeight="1">
      <c r="B28" s="142">
        <v>18</v>
      </c>
      <c r="C28" s="142" t="str">
        <f>IF('Home country (Form 1 &amp; Form 2)'!C70="","",'Home country (Form 1 &amp; Form 2)'!C70)</f>
        <v>OLR</v>
      </c>
      <c r="D28" s="131" t="str">
        <f>IF('Home country (Form 1 &amp; Form 2)'!D70="","",'Home country (Form 1 &amp; Form 2)'!D70)</f>
        <v>TO</v>
      </c>
      <c r="E28" s="133" t="str">
        <f>IF('Home country (Form 1 &amp; Form 2)'!E70="","",'Home country (Form 1 &amp; Form 2)'!E70)</f>
        <v>TRUNG HIEU</v>
      </c>
      <c r="F28" s="134" t="str">
        <f>IF('Home country (Form 1 &amp; Form 2)'!F70="","",'Home country (Form 1 &amp; Form 2)'!F70)</f>
        <v>VIETNAMESE</v>
      </c>
      <c r="G28" s="132"/>
      <c r="H28" s="169"/>
      <c r="I28" s="132">
        <v>1892848</v>
      </c>
      <c r="J28" s="169">
        <v>47202</v>
      </c>
      <c r="K28" s="134" t="s">
        <v>276</v>
      </c>
      <c r="L28" s="173">
        <v>46692</v>
      </c>
      <c r="M28" s="239"/>
      <c r="N28" s="240"/>
      <c r="O28" s="169" t="s">
        <v>278</v>
      </c>
      <c r="P28" s="169">
        <v>46454</v>
      </c>
      <c r="Q28" s="132" t="s">
        <v>276</v>
      </c>
      <c r="R28" s="131"/>
    </row>
    <row r="29" spans="2:18" s="138" customFormat="1" ht="20.25" customHeight="1">
      <c r="B29" s="132">
        <v>19</v>
      </c>
      <c r="C29" s="142" t="str">
        <f>IF('Home country (Form 1 &amp; Form 2)'!C71="","",'Home country (Form 1 &amp; Form 2)'!C71)</f>
        <v>WPR</v>
      </c>
      <c r="D29" s="131" t="str">
        <f>IF('Home country (Form 1 &amp; Form 2)'!D71="","",'Home country (Form 1 &amp; Form 2)'!D71)</f>
        <v>BUI</v>
      </c>
      <c r="E29" s="133" t="str">
        <f>IF('Home country (Form 1 &amp; Form 2)'!E71="","",'Home country (Form 1 &amp; Form 2)'!E71)</f>
        <v>TUAN ANH</v>
      </c>
      <c r="F29" s="134" t="str">
        <f>IF('Home country (Form 1 &amp; Form 2)'!F71="","",'Home country (Form 1 &amp; Form 2)'!F71)</f>
        <v>VIETNAMESE</v>
      </c>
      <c r="G29" s="132"/>
      <c r="H29" s="171"/>
      <c r="I29" s="144">
        <v>2008678</v>
      </c>
      <c r="J29" s="169">
        <v>47589</v>
      </c>
      <c r="K29" s="134"/>
      <c r="L29" s="169"/>
      <c r="M29" s="239"/>
      <c r="N29" s="240"/>
      <c r="O29" s="169" t="s">
        <v>278</v>
      </c>
      <c r="P29" s="169">
        <v>47475</v>
      </c>
      <c r="Q29" s="132" t="s">
        <v>276</v>
      </c>
      <c r="R29" s="131"/>
    </row>
    <row r="30" spans="2:18" s="138" customFormat="1" ht="21" customHeight="1">
      <c r="B30" s="142">
        <v>20</v>
      </c>
      <c r="C30" s="142" t="str">
        <f>IF('Home country (Form 1 &amp; Form 2)'!C72="","",'Home country (Form 1 &amp; Form 2)'!C72)</f>
        <v>C/CK</v>
      </c>
      <c r="D30" s="131" t="str">
        <f>IF('Home country (Form 1 &amp; Form 2)'!D72="","",'Home country (Form 1 &amp; Form 2)'!D72)</f>
        <v>NGUYEN</v>
      </c>
      <c r="E30" s="133" t="str">
        <f>IF('Home country (Form 1 &amp; Form 2)'!E72="","",'Home country (Form 1 &amp; Form 2)'!E72)</f>
        <v>DUY HIEU</v>
      </c>
      <c r="F30" s="134" t="str">
        <f>IF('Home country (Form 1 &amp; Form 2)'!F72="","",'Home country (Form 1 &amp; Form 2)'!F72)</f>
        <v>VIETNAMESE</v>
      </c>
      <c r="G30" s="132"/>
      <c r="H30" s="169"/>
      <c r="I30" s="144">
        <v>2008679</v>
      </c>
      <c r="J30" s="169">
        <v>47589</v>
      </c>
      <c r="K30" s="134"/>
      <c r="L30" s="173"/>
      <c r="M30" s="239" t="s">
        <v>276</v>
      </c>
      <c r="N30" s="240"/>
      <c r="O30" s="169" t="s">
        <v>278</v>
      </c>
      <c r="P30" s="169">
        <v>47567</v>
      </c>
      <c r="Q30" s="132" t="s">
        <v>276</v>
      </c>
      <c r="R30" s="131"/>
    </row>
    <row r="31" spans="2:18" s="138" customFormat="1" ht="20.100000000000001" customHeight="1">
      <c r="B31" s="132">
        <v>21</v>
      </c>
      <c r="C31" s="142" t="str">
        <f>IF('Home country (Form 1 &amp; Form 2)'!C73="","",'Home country (Form 1 &amp; Form 2)'!C73)</f>
        <v>M/M</v>
      </c>
      <c r="D31" s="131" t="str">
        <f>IF('Home country (Form 1 &amp; Form 2)'!D73="","",'Home country (Form 1 &amp; Form 2)'!D73)</f>
        <v xml:space="preserve">TRAN </v>
      </c>
      <c r="E31" s="133" t="str">
        <f>IF('Home country (Form 1 &amp; Form 2)'!E73="","",'Home country (Form 1 &amp; Form 2)'!E73)</f>
        <v>VAN HOAN</v>
      </c>
      <c r="F31" s="134" t="str">
        <f>IF('Home country (Form 1 &amp; Form 2)'!F73="","",'Home country (Form 1 &amp; Form 2)'!F73)</f>
        <v>VIETNAMESE</v>
      </c>
      <c r="G31" s="132"/>
      <c r="H31" s="169"/>
      <c r="I31" s="132">
        <v>2028157</v>
      </c>
      <c r="J31" s="169">
        <v>47647</v>
      </c>
      <c r="K31" s="134"/>
      <c r="L31" s="173"/>
      <c r="M31" s="239" t="s">
        <v>276</v>
      </c>
      <c r="N31" s="240"/>
      <c r="O31" s="169" t="s">
        <v>278</v>
      </c>
      <c r="P31" s="169">
        <v>47224</v>
      </c>
      <c r="Q31" s="132" t="s">
        <v>276</v>
      </c>
      <c r="R31" s="131"/>
    </row>
    <row r="32" spans="2:18" s="138" customFormat="1" ht="20.100000000000001" customHeight="1">
      <c r="B32" s="142">
        <v>22</v>
      </c>
      <c r="C32" s="142" t="str">
        <f>IF('Home country (Form 1 &amp; Form 2)'!C74="","",'Home country (Form 1 &amp; Form 2)'!C74)</f>
        <v xml:space="preserve">D/CDT </v>
      </c>
      <c r="D32" s="131" t="str">
        <f>IF('Home country (Form 1 &amp; Form 2)'!D74="","",'Home country (Form 1 &amp; Form 2)'!D74)</f>
        <v xml:space="preserve">VU </v>
      </c>
      <c r="E32" s="133" t="str">
        <f>IF('Home country (Form 1 &amp; Form 2)'!E74="","",'Home country (Form 1 &amp; Form 2)'!E74)</f>
        <v xml:space="preserve">THUY  ANH </v>
      </c>
      <c r="F32" s="134" t="s">
        <v>274</v>
      </c>
      <c r="G32" s="132"/>
      <c r="H32" s="169"/>
      <c r="I32" s="132">
        <v>1977165</v>
      </c>
      <c r="J32" s="169">
        <v>47497</v>
      </c>
      <c r="K32" s="134"/>
      <c r="L32" s="173"/>
      <c r="M32" s="141"/>
      <c r="N32"/>
      <c r="O32" s="169" t="s">
        <v>486</v>
      </c>
      <c r="P32" s="169">
        <v>47267</v>
      </c>
      <c r="Q32" s="132" t="s">
        <v>276</v>
      </c>
      <c r="R32" s="131"/>
    </row>
    <row r="33" spans="2:18" s="138" customFormat="1" ht="20.100000000000001" customHeight="1">
      <c r="B33" s="132">
        <v>23</v>
      </c>
      <c r="C33" s="132" t="str">
        <f>IF('Home country (Form 1 &amp; Form 2)'!C75="","",'Home country (Form 1 &amp; Form 2)'!C75)</f>
        <v>E/CDT</v>
      </c>
      <c r="D33" s="131" t="str">
        <f>IF('Home country (Form 1 &amp; Form 2)'!D75="","",'Home country (Form 1 &amp; Form 2)'!D75)</f>
        <v xml:space="preserve">NGUYEN </v>
      </c>
      <c r="E33" s="133" t="str">
        <f>IF('Home country (Form 1 &amp; Form 2)'!E75="","",'Home country (Form 1 &amp; Form 2)'!E75)</f>
        <v xml:space="preserve">CONG HUNG </v>
      </c>
      <c r="F33" s="134" t="str">
        <f>IF('Home country (Form 1 &amp; Form 2)'!F75="","",'Home country (Form 1 &amp; Form 2)'!F75)</f>
        <v>VIETNAMESE</v>
      </c>
      <c r="G33" s="132"/>
      <c r="H33" s="150"/>
      <c r="I33" s="132">
        <v>1977166</v>
      </c>
      <c r="J33" s="169">
        <v>47497</v>
      </c>
      <c r="K33" s="134"/>
      <c r="L33" s="173"/>
      <c r="M33" s="239"/>
      <c r="N33" s="241"/>
      <c r="O33" s="169" t="s">
        <v>278</v>
      </c>
      <c r="P33" s="169">
        <v>47311</v>
      </c>
      <c r="Q33" s="132" t="s">
        <v>276</v>
      </c>
      <c r="R33" s="131"/>
    </row>
    <row r="34" spans="2:18" s="138" customFormat="1" ht="20.100000000000001" customHeight="1">
      <c r="B34" s="142">
        <v>24</v>
      </c>
      <c r="C34" s="132" t="str">
        <f>IF('Home country (Form 1 &amp; Form 2)'!C76="","",'Home country (Form 1 &amp; Form 2)'!C76)</f>
        <v>E/CDT</v>
      </c>
      <c r="D34" s="131" t="str">
        <f>IF('Home country (Form 1 &amp; Form 2)'!D76="","",'Home country (Form 1 &amp; Form 2)'!D76)</f>
        <v>NGUYEN</v>
      </c>
      <c r="E34" s="133" t="str">
        <f>IF('Home country (Form 1 &amp; Form 2)'!E76="","",'Home country (Form 1 &amp; Form 2)'!E76)</f>
        <v>TUAN DAT</v>
      </c>
      <c r="F34" s="134" t="str">
        <f>IF('Home country (Form 1 &amp; Form 2)'!F76="","",'Home country (Form 1 &amp; Form 2)'!F76)</f>
        <v>VIETNAMESE</v>
      </c>
      <c r="G34" s="134" t="s">
        <v>43</v>
      </c>
      <c r="H34" s="185"/>
      <c r="I34" s="132">
        <v>2057276</v>
      </c>
      <c r="J34" s="169">
        <v>47749</v>
      </c>
      <c r="K34" s="134"/>
      <c r="L34" s="187"/>
      <c r="M34" s="239"/>
      <c r="N34" s="241"/>
      <c r="O34" s="169" t="s">
        <v>278</v>
      </c>
      <c r="P34" s="169">
        <v>47549</v>
      </c>
      <c r="Q34" s="132" t="s">
        <v>276</v>
      </c>
      <c r="R34" s="131"/>
    </row>
    <row r="35" spans="2:18" ht="20.100000000000001" customHeight="1">
      <c r="B35" s="69">
        <v>25</v>
      </c>
      <c r="C35" s="69" t="str">
        <f>IF('Home country (Form 1 &amp; Form 2)'!C77="","",'Home country (Form 1 &amp; Form 2)'!C77)</f>
        <v>E/CDT</v>
      </c>
      <c r="D35" s="56" t="str">
        <f>IF('Home country (Form 1 &amp; Form 2)'!D77="","",'Home country (Form 1 &amp; Form 2)'!D77)</f>
        <v>NGUYEN</v>
      </c>
      <c r="E35" s="70" t="str">
        <f>IF('Home country (Form 1 &amp; Form 2)'!E77="","",'Home country (Form 1 &amp; Form 2)'!E77)</f>
        <v>TRONG DUC</v>
      </c>
      <c r="F35" s="59" t="str">
        <f>IF('Home country (Form 1 &amp; Form 2)'!F77="","",'Home country (Form 1 &amp; Form 2)'!F77)</f>
        <v>VIETNAMESE</v>
      </c>
      <c r="G35" s="134"/>
      <c r="H35" s="185"/>
      <c r="I35" s="188">
        <v>2057277</v>
      </c>
      <c r="J35" s="169">
        <v>47749</v>
      </c>
      <c r="K35" s="134"/>
      <c r="L35" s="173"/>
      <c r="M35" s="239"/>
      <c r="N35" s="241"/>
      <c r="O35" s="169" t="s">
        <v>278</v>
      </c>
      <c r="P35" s="169">
        <v>47549</v>
      </c>
      <c r="Q35" s="132" t="s">
        <v>276</v>
      </c>
      <c r="R35" s="131"/>
    </row>
    <row r="36" spans="2:18" ht="20.100000000000001" customHeight="1">
      <c r="B36" s="104">
        <v>26</v>
      </c>
      <c r="C36" s="104" t="str">
        <f>IF('Home country (Form 1 &amp; Form 2)'!C78="","",'Home country (Form 1 &amp; Form 2)'!C78)</f>
        <v/>
      </c>
      <c r="D36" s="102" t="str">
        <f>IF('Home country (Form 1 &amp; Form 2)'!D78="","",'Home country (Form 1 &amp; Form 2)'!D78)</f>
        <v/>
      </c>
      <c r="E36" s="103" t="str">
        <f>IF('Home country (Form 1 &amp; Form 2)'!E78="","",'Home country (Form 1 &amp; Form 2)'!E78)</f>
        <v/>
      </c>
      <c r="F36" s="87" t="str">
        <f>IF('Home country (Form 1 &amp; Form 2)'!F78="","",'Home country (Form 1 &amp; Form 2)'!F78)</f>
        <v/>
      </c>
      <c r="G36" s="59" t="s">
        <v>43</v>
      </c>
      <c r="H36" s="152"/>
      <c r="I36" s="59"/>
      <c r="J36" s="152"/>
      <c r="K36" s="59"/>
      <c r="L36" s="174"/>
      <c r="M36" s="238"/>
      <c r="N36" s="199"/>
      <c r="O36" s="176"/>
      <c r="P36" s="176"/>
      <c r="Q36" s="56"/>
      <c r="R36" s="56"/>
    </row>
    <row r="37" spans="2:18" ht="20.100000000000001" customHeight="1">
      <c r="B37" s="104">
        <v>27</v>
      </c>
      <c r="C37" s="104" t="str">
        <f>IF('Home country (Form 1 &amp; Form 2)'!C79="","",'Home country (Form 1 &amp; Form 2)'!C79)</f>
        <v/>
      </c>
      <c r="D37" s="102" t="str">
        <f>IF('Home country (Form 1 &amp; Form 2)'!D79="","",'Home country (Form 1 &amp; Form 2)'!D79)</f>
        <v/>
      </c>
      <c r="E37" s="103" t="str">
        <f>IF('Home country (Form 1 &amp; Form 2)'!E79="","",'Home country (Form 1 &amp; Form 2)'!E79)</f>
        <v/>
      </c>
      <c r="F37" s="87" t="str">
        <f>IF('Home country (Form 1 &amp; Form 2)'!F79="","",'Home country (Form 1 &amp; Form 2)'!F79)</f>
        <v/>
      </c>
      <c r="G37" s="59"/>
      <c r="H37" s="152"/>
      <c r="I37" s="59"/>
      <c r="J37" s="152"/>
      <c r="K37" s="59"/>
      <c r="L37" s="174"/>
      <c r="M37" s="238"/>
      <c r="N37" s="199"/>
      <c r="O37" s="176"/>
      <c r="P37" s="176"/>
      <c r="Q37" s="56"/>
      <c r="R37" s="56"/>
    </row>
    <row r="38" spans="2:18" ht="20.100000000000001" customHeight="1">
      <c r="B38" s="104">
        <v>28</v>
      </c>
      <c r="C38" s="104" t="str">
        <f>IF('Home country (Form 1 &amp; Form 2)'!C80="","",'Home country (Form 1 &amp; Form 2)'!C80)</f>
        <v/>
      </c>
      <c r="D38" s="102" t="str">
        <f>IF('Home country (Form 1 &amp; Form 2)'!D80="","",'Home country (Form 1 &amp; Form 2)'!D80)</f>
        <v/>
      </c>
      <c r="E38" s="103" t="str">
        <f>IF('Home country (Form 1 &amp; Form 2)'!E80="","",'Home country (Form 1 &amp; Form 2)'!E80)</f>
        <v/>
      </c>
      <c r="F38" s="87" t="str">
        <f>IF('Home country (Form 1 &amp; Form 2)'!F80="","",'Home country (Form 1 &amp; Form 2)'!F80)</f>
        <v/>
      </c>
      <c r="G38" s="59" t="s">
        <v>43</v>
      </c>
      <c r="H38" s="152"/>
      <c r="I38" s="59"/>
      <c r="J38" s="152"/>
      <c r="K38" s="59"/>
      <c r="L38" s="174"/>
      <c r="M38" s="238"/>
      <c r="N38" s="199"/>
      <c r="O38" s="176"/>
      <c r="P38" s="176"/>
      <c r="Q38" s="56"/>
      <c r="R38" s="56"/>
    </row>
    <row r="39" spans="2:18" ht="20.100000000000001" customHeight="1">
      <c r="B39" s="104">
        <v>29</v>
      </c>
      <c r="C39" s="104" t="str">
        <f>IF('Home country (Form 1 &amp; Form 2)'!C81="","",'Home country (Form 1 &amp; Form 2)'!C81)</f>
        <v/>
      </c>
      <c r="D39" s="102" t="str">
        <f>IF('Home country (Form 1 &amp; Form 2)'!D81="","",'Home country (Form 1 &amp; Form 2)'!D81)</f>
        <v/>
      </c>
      <c r="E39" s="103" t="str">
        <f>IF('Home country (Form 1 &amp; Form 2)'!E81="","",'Home country (Form 1 &amp; Form 2)'!E81)</f>
        <v/>
      </c>
      <c r="F39" s="87" t="str">
        <f>IF('Home country (Form 1 &amp; Form 2)'!F81="","",'Home country (Form 1 &amp; Form 2)'!F81)</f>
        <v/>
      </c>
      <c r="G39" s="59"/>
      <c r="H39" s="152"/>
      <c r="I39" s="59"/>
      <c r="J39" s="152"/>
      <c r="K39" s="59"/>
      <c r="L39" s="174"/>
      <c r="M39" s="238"/>
      <c r="N39" s="199"/>
      <c r="O39" s="176"/>
      <c r="P39" s="176"/>
      <c r="Q39" s="56"/>
      <c r="R39" s="56"/>
    </row>
    <row r="40" spans="2:18" ht="20.100000000000001" customHeight="1">
      <c r="B40" s="58"/>
      <c r="C40" s="58"/>
    </row>
    <row r="41" spans="2:18" ht="20.100000000000001" customHeight="1">
      <c r="O41" s="178" t="s">
        <v>164</v>
      </c>
    </row>
  </sheetData>
  <mergeCells count="48">
    <mergeCell ref="Q4:R4"/>
    <mergeCell ref="I8:J8"/>
    <mergeCell ref="C7:C10"/>
    <mergeCell ref="D7:E7"/>
    <mergeCell ref="G6:H6"/>
    <mergeCell ref="G7:H7"/>
    <mergeCell ref="I7:J7"/>
    <mergeCell ref="E4:F4"/>
    <mergeCell ref="O6:P6"/>
    <mergeCell ref="O7:P7"/>
    <mergeCell ref="D8:D10"/>
    <mergeCell ref="E8:E10"/>
    <mergeCell ref="M7:N7"/>
    <mergeCell ref="I6:J6"/>
    <mergeCell ref="O8:P8"/>
    <mergeCell ref="J2:L2"/>
    <mergeCell ref="H4:I4"/>
    <mergeCell ref="M6:N6"/>
    <mergeCell ref="K6:L6"/>
    <mergeCell ref="K7:L8"/>
    <mergeCell ref="M11:N11"/>
    <mergeCell ref="M17:N17"/>
    <mergeCell ref="M18:N18"/>
    <mergeCell ref="M13:N13"/>
    <mergeCell ref="M15:N15"/>
    <mergeCell ref="M12:N12"/>
    <mergeCell ref="M14:N14"/>
    <mergeCell ref="M19:N19"/>
    <mergeCell ref="M20:N20"/>
    <mergeCell ref="M21:N21"/>
    <mergeCell ref="M22:N22"/>
    <mergeCell ref="M16:N16"/>
    <mergeCell ref="M36:N36"/>
    <mergeCell ref="M37:N37"/>
    <mergeCell ref="M38:N38"/>
    <mergeCell ref="M39:N39"/>
    <mergeCell ref="M23:N23"/>
    <mergeCell ref="M24:N24"/>
    <mergeCell ref="M25:N25"/>
    <mergeCell ref="M35:N35"/>
    <mergeCell ref="M26:N26"/>
    <mergeCell ref="M27:N27"/>
    <mergeCell ref="M28:N28"/>
    <mergeCell ref="M29:N29"/>
    <mergeCell ref="M30:N30"/>
    <mergeCell ref="M31:N31"/>
    <mergeCell ref="M33:N33"/>
    <mergeCell ref="M34:N34"/>
  </mergeCells>
  <phoneticPr fontId="8"/>
  <conditionalFormatting sqref="H11:H18 H21:H25 H27:H28 H30:H39">
    <cfRule type="containsBlanks" dxfId="27" priority="51">
      <formula>LEN(TRIM(H11))=0</formula>
    </cfRule>
  </conditionalFormatting>
  <conditionalFormatting sqref="H11:H18 H34:H39">
    <cfRule type="cellIs" dxfId="26" priority="58" operator="lessThanOrEqual">
      <formula>$Q$4</formula>
    </cfRule>
  </conditionalFormatting>
  <conditionalFormatting sqref="H21:H25 H27:H28 H30:H32 N31">
    <cfRule type="cellIs" dxfId="25" priority="52" operator="lessThanOrEqual">
      <formula>$Q$4</formula>
    </cfRule>
  </conditionalFormatting>
  <conditionalFormatting sqref="H21:H25 H27:H28 H30:H33 H11:H18">
    <cfRule type="cellIs" dxfId="24" priority="53" operator="lessThanOrEqual">
      <formula>$Q$4+183</formula>
    </cfRule>
  </conditionalFormatting>
  <conditionalFormatting sqref="H34:H39">
    <cfRule type="cellIs" dxfId="23" priority="59" operator="lessThanOrEqual">
      <formula>$Q$4+183</formula>
    </cfRule>
  </conditionalFormatting>
  <conditionalFormatting sqref="J11">
    <cfRule type="cellIs" dxfId="22" priority="44" operator="lessThanOrEqual">
      <formula>$Q$4+183</formula>
    </cfRule>
  </conditionalFormatting>
  <conditionalFormatting sqref="J11:J18">
    <cfRule type="cellIs" dxfId="21" priority="45" operator="lessThanOrEqual">
      <formula>$Q$4</formula>
    </cfRule>
  </conditionalFormatting>
  <conditionalFormatting sqref="J11:J39">
    <cfRule type="containsBlanks" dxfId="20" priority="10">
      <formula>LEN(TRIM(J11))=0</formula>
    </cfRule>
  </conditionalFormatting>
  <conditionalFormatting sqref="J12:J18 J21:J23 J25:J28 J31:J39">
    <cfRule type="cellIs" dxfId="19" priority="50" operator="lessThanOrEqual">
      <formula>$Q$4+183</formula>
    </cfRule>
  </conditionalFormatting>
  <conditionalFormatting sqref="J19:J20">
    <cfRule type="cellIs" dxfId="18" priority="41" operator="lessThanOrEqual">
      <formula>$Q$4+183</formula>
    </cfRule>
  </conditionalFormatting>
  <conditionalFormatting sqref="J19:J23">
    <cfRule type="cellIs" dxfId="17" priority="42" operator="lessThanOrEqual">
      <formula>$Q$4</formula>
    </cfRule>
  </conditionalFormatting>
  <conditionalFormatting sqref="J24">
    <cfRule type="cellIs" dxfId="16" priority="38" operator="lessThanOrEqual">
      <formula>$Q$4+183</formula>
    </cfRule>
  </conditionalFormatting>
  <conditionalFormatting sqref="J24:J28">
    <cfRule type="cellIs" dxfId="15" priority="39" operator="lessThanOrEqual">
      <formula>$Q$4</formula>
    </cfRule>
  </conditionalFormatting>
  <conditionalFormatting sqref="J29:J30">
    <cfRule type="cellIs" dxfId="14" priority="11" operator="lessThanOrEqual">
      <formula>$Q$4+183</formula>
    </cfRule>
  </conditionalFormatting>
  <conditionalFormatting sqref="J29:J39">
    <cfRule type="cellIs" dxfId="13" priority="12" operator="lessThanOrEqual">
      <formula>$Q$4</formula>
    </cfRule>
  </conditionalFormatting>
  <conditionalFormatting sqref="L11:L39">
    <cfRule type="containsBlanks" dxfId="12" priority="4">
      <formula>LEN(TRIM(L11))=0</formula>
    </cfRule>
    <cfRule type="cellIs" dxfId="11" priority="5" operator="lessThanOrEqual">
      <formula>$Q$4+183</formula>
    </cfRule>
  </conditionalFormatting>
  <conditionalFormatting sqref="L19:L20">
    <cfRule type="cellIs" dxfId="10" priority="21" operator="lessThanOrEqual">
      <formula>$Q$4</formula>
    </cfRule>
  </conditionalFormatting>
  <conditionalFormatting sqref="L24">
    <cfRule type="cellIs" dxfId="9" priority="18" operator="lessThanOrEqual">
      <formula>$Q$4</formula>
    </cfRule>
  </conditionalFormatting>
  <conditionalFormatting sqref="L29">
    <cfRule type="cellIs" dxfId="8" priority="6" operator="lessThanOrEqual">
      <formula>$Q$4</formula>
    </cfRule>
  </conditionalFormatting>
  <conditionalFormatting sqref="N11:N13 N15:N17 N20:N27">
    <cfRule type="cellIs" dxfId="7" priority="54" operator="lessThanOrEqual">
      <formula>$Q$4</formula>
    </cfRule>
  </conditionalFormatting>
  <conditionalFormatting sqref="P11">
    <cfRule type="cellIs" dxfId="6" priority="36" operator="lessThanOrEqual">
      <formula>$Q$4</formula>
    </cfRule>
  </conditionalFormatting>
  <conditionalFormatting sqref="P11:P39">
    <cfRule type="containsBlanks" dxfId="5" priority="1">
      <formula>LEN(TRIM(P11))=0</formula>
    </cfRule>
    <cfRule type="cellIs" dxfId="4" priority="2" operator="lessThanOrEqual">
      <formula>$Q$4+183</formula>
    </cfRule>
  </conditionalFormatting>
  <conditionalFormatting sqref="P19:P20">
    <cfRule type="cellIs" dxfId="3" priority="30" operator="lessThanOrEqual">
      <formula>$Q$4</formula>
    </cfRule>
  </conditionalFormatting>
  <conditionalFormatting sqref="P24">
    <cfRule type="cellIs" dxfId="2" priority="27" operator="lessThanOrEqual">
      <formula>$Q$4</formula>
    </cfRule>
  </conditionalFormatting>
  <conditionalFormatting sqref="P27">
    <cfRule type="cellIs" dxfId="1" priority="15" operator="lessThanOrEqual">
      <formula>$Q$4</formula>
    </cfRule>
  </conditionalFormatting>
  <conditionalFormatting sqref="P29:P30">
    <cfRule type="cellIs" dxfId="0" priority="3" operator="lessThanOrEqual">
      <formula>$Q$4</formula>
    </cfRule>
  </conditionalFormatting>
  <pageMargins left="0.43307086614173229" right="0.31496062992125984" top="0.39370078740157483" bottom="0.47244094488188981" header="0.31496062992125984" footer="0.31496062992125984"/>
  <pageSetup paperSize="9" scale="60" fitToHeight="0" orientation="landscape" r:id="rId1"/>
  <headerFooter>
    <oddHeader>&amp;R&amp;6 SMR-01-030 (SMN) Sheet4_x000D_Revision: 5_x000D_Page: &amp;P of &amp;N_x000D_Date: 2024/04/01&amp;</oddHeader>
    <oddFooter>&amp;R&amp;8 NS UNITED KAIUN KAISHA, LTD.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a6fee357-487f-4644-ba81-629335c1c7e0" xsi:nil="true"/>
    <TaxCatchAll xmlns="2a4b70c9-ba0a-440f-9b9d-f9634d8e1d7b" xsi:nil="true"/>
    <lcf76f155ced4ddcb4097134ff3c332f xmlns="a6fee357-487f-4644-ba81-629335c1c7e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9666455F7EE3343A97001778A47CF80" ma:contentTypeVersion="16" ma:contentTypeDescription="新しいドキュメントを作成します。" ma:contentTypeScope="" ma:versionID="e5ccea70e57aa92fcdef454c81ee85f6">
  <xsd:schema xmlns:xsd="http://www.w3.org/2001/XMLSchema" xmlns:xs="http://www.w3.org/2001/XMLSchema" xmlns:p="http://schemas.microsoft.com/office/2006/metadata/properties" xmlns:ns2="2a4b70c9-ba0a-440f-9b9d-f9634d8e1d7b" xmlns:ns3="a6fee357-487f-4644-ba81-629335c1c7e0" targetNamespace="http://schemas.microsoft.com/office/2006/metadata/properties" ma:root="true" ma:fieldsID="01dcbec841a85c16919d527b10f7a2d3" ns2:_="" ns3:_="">
    <xsd:import namespace="2a4b70c9-ba0a-440f-9b9d-f9634d8e1d7b"/>
    <xsd:import namespace="a6fee357-487f-4644-ba81-629335c1c7e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LengthInSeconds"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4b70c9-ba0a-440f-9b9d-f9634d8e1d7b"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TaxCatchAll" ma:index="19" nillable="true" ma:displayName="Taxonomy Catch All Column" ma:hidden="true" ma:list="{93c14efd-1771-44b7-8bdb-76caae5c3e7b}" ma:internalName="TaxCatchAll" ma:showField="CatchAllData" ma:web="2a4b70c9-ba0a-440f-9b9d-f9634d8e1d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6fee357-487f-4644-ba81-629335c1c7e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ac00615a-fb45-45d7-8c57-200b14dd1228"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B17E33-B1D8-4793-ABDA-BE175AF1FC90}">
  <ds:schemaRefs>
    <ds:schemaRef ds:uri="http://schemas.microsoft.com/office/2006/metadata/properties"/>
    <ds:schemaRef ds:uri="http://schemas.microsoft.com/office/infopath/2007/PartnerControls"/>
    <ds:schemaRef ds:uri="a6fee357-487f-4644-ba81-629335c1c7e0"/>
    <ds:schemaRef ds:uri="2a4b70c9-ba0a-440f-9b9d-f9634d8e1d7b"/>
  </ds:schemaRefs>
</ds:datastoreItem>
</file>

<file path=customXml/itemProps2.xml><?xml version="1.0" encoding="utf-8"?>
<ds:datastoreItem xmlns:ds="http://schemas.openxmlformats.org/officeDocument/2006/customXml" ds:itemID="{217151A7-9F97-4047-8E9E-4A656EF04567}">
  <ds:schemaRefs>
    <ds:schemaRef ds:uri="http://schemas.microsoft.com/sharepoint/v3/contenttype/forms"/>
  </ds:schemaRefs>
</ds:datastoreItem>
</file>

<file path=customXml/itemProps3.xml><?xml version="1.0" encoding="utf-8"?>
<ds:datastoreItem xmlns:ds="http://schemas.openxmlformats.org/officeDocument/2006/customXml" ds:itemID="{44AE694E-EBE6-4D25-9431-D644BF4BAD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4b70c9-ba0a-440f-9b9d-f9634d8e1d7b"/>
    <ds:schemaRef ds:uri="a6fee357-487f-4644-ba81-629335c1c7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入力画面</vt:lpstr>
      <vt:lpstr>Guideline</vt:lpstr>
      <vt:lpstr>Home country (Form 1 &amp; Form 2)</vt:lpstr>
      <vt:lpstr>Flag state (Form 3)</vt:lpstr>
    </vt:vector>
  </TitlesOfParts>
  <Company>日鉄海運株式会社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ちば</dc:creator>
  <cp:lastModifiedBy>vessel</cp:lastModifiedBy>
  <cp:lastPrinted>2026-01-30T06:42:42Z</cp:lastPrinted>
  <dcterms:created xsi:type="dcterms:W3CDTF">1998-10-29T08:29:31Z</dcterms:created>
  <dcterms:modified xsi:type="dcterms:W3CDTF">2026-01-30T06:43:01Z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0x010100D9666455F7EE3343A97001778A47CF80</vt:lpwstr>
  </property>
  <property fmtid="{D5CDD505-2E9C-101B-9397-08002B2CF9AE}" pid="3" name="MediaServiceImageTags">
    <vt:lpwstr/>
  </property>
</Properties>
</file>